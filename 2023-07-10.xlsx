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K\Desktop\"/>
    </mc:Choice>
  </mc:AlternateContent>
  <xr:revisionPtr revIDLastSave="0" documentId="8_{D1E8C7B2-6879-4555-854F-C87A4250EC42}" xr6:coauthVersionLast="47" xr6:coauthVersionMax="47" xr10:uidLastSave="{00000000-0000-0000-0000-000000000000}"/>
  <bookViews>
    <workbookView xWindow="1872" yWindow="0" windowWidth="22104" windowHeight="9564" tabRatio="934" xr2:uid="{8416EE99-3C70-481C-86FE-619D93B8EE60}"/>
  </bookViews>
  <sheets>
    <sheet name="F series" sheetId="12" r:id="rId1"/>
    <sheet name="R series" sheetId="1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2" i="12" l="1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C8" i="12"/>
  <c r="C2" i="12"/>
  <c r="C99" i="12"/>
  <c r="C98" i="12"/>
  <c r="C97" i="12"/>
  <c r="C96" i="12"/>
  <c r="C95" i="12"/>
  <c r="C94" i="12"/>
  <c r="C93" i="12"/>
  <c r="C92" i="12"/>
  <c r="C91" i="12"/>
  <c r="C90" i="12"/>
  <c r="C89" i="12"/>
  <c r="C88" i="12"/>
  <c r="C87" i="12"/>
  <c r="C86" i="12"/>
  <c r="C85" i="12"/>
  <c r="C84" i="12"/>
  <c r="C83" i="12"/>
  <c r="C82" i="12"/>
  <c r="C81" i="12"/>
  <c r="C80" i="12"/>
  <c r="C79" i="12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6" i="12"/>
  <c r="C5" i="12"/>
  <c r="C4" i="12"/>
  <c r="C3" i="12"/>
  <c r="C7" i="12"/>
  <c r="K11" i="12"/>
  <c r="N65" i="12"/>
  <c r="M65" i="12"/>
  <c r="L65" i="12"/>
  <c r="V65" i="12" a="1"/>
  <c r="V65" i="12" s="1"/>
  <c r="J65" i="12"/>
  <c r="E65" i="12"/>
  <c r="N64" i="12"/>
  <c r="M64" i="12"/>
  <c r="L64" i="12"/>
  <c r="V64" i="12" a="1"/>
  <c r="V64" i="12" s="1"/>
  <c r="J64" i="12"/>
  <c r="E64" i="12"/>
  <c r="N63" i="12"/>
  <c r="M63" i="12"/>
  <c r="L63" i="12"/>
  <c r="V63" i="12" a="1"/>
  <c r="V63" i="12" s="1"/>
  <c r="J63" i="12"/>
  <c r="E63" i="12"/>
  <c r="N62" i="12"/>
  <c r="M62" i="12"/>
  <c r="L62" i="12"/>
  <c r="V62" i="12" a="1"/>
  <c r="V62" i="12" s="1"/>
  <c r="J62" i="12"/>
  <c r="E62" i="12"/>
  <c r="N61" i="12"/>
  <c r="M61" i="12"/>
  <c r="L61" i="12"/>
  <c r="V61" i="12" a="1"/>
  <c r="V61" i="12" s="1"/>
  <c r="J61" i="12"/>
  <c r="E61" i="12"/>
  <c r="N60" i="12"/>
  <c r="M60" i="12"/>
  <c r="L60" i="12"/>
  <c r="V60" i="12" a="1"/>
  <c r="V60" i="12" s="1"/>
  <c r="J60" i="12"/>
  <c r="E60" i="12"/>
  <c r="N59" i="12"/>
  <c r="M59" i="12"/>
  <c r="L59" i="12"/>
  <c r="V59" i="12" a="1"/>
  <c r="V59" i="12" s="1"/>
  <c r="J59" i="12"/>
  <c r="E59" i="12"/>
  <c r="N58" i="12"/>
  <c r="M58" i="12"/>
  <c r="L58" i="12"/>
  <c r="V58" i="12" a="1"/>
  <c r="V58" i="12" s="1"/>
  <c r="J58" i="12"/>
  <c r="E58" i="12"/>
  <c r="N57" i="12"/>
  <c r="M57" i="12"/>
  <c r="L57" i="12"/>
  <c r="V57" i="12" a="1"/>
  <c r="V57" i="12" s="1"/>
  <c r="J57" i="12"/>
  <c r="E57" i="12"/>
  <c r="N56" i="12"/>
  <c r="M56" i="12"/>
  <c r="L56" i="12"/>
  <c r="V56" i="12" a="1"/>
  <c r="V56" i="12" s="1"/>
  <c r="J56" i="12"/>
  <c r="E56" i="12"/>
  <c r="N55" i="12"/>
  <c r="M55" i="12"/>
  <c r="L55" i="12"/>
  <c r="V55" i="12" a="1"/>
  <c r="V55" i="12" s="1"/>
  <c r="J55" i="12"/>
  <c r="E55" i="12"/>
  <c r="N54" i="12"/>
  <c r="M54" i="12"/>
  <c r="L54" i="12"/>
  <c r="V54" i="12" a="1"/>
  <c r="V54" i="12" s="1"/>
  <c r="J54" i="12"/>
  <c r="E54" i="12"/>
  <c r="N53" i="12"/>
  <c r="M53" i="12"/>
  <c r="L53" i="12"/>
  <c r="V53" i="12" a="1"/>
  <c r="V53" i="12" s="1"/>
  <c r="J53" i="12"/>
  <c r="E53" i="12"/>
  <c r="N52" i="12"/>
  <c r="M52" i="12"/>
  <c r="L52" i="12"/>
  <c r="V52" i="12" a="1"/>
  <c r="V52" i="12" s="1"/>
  <c r="J52" i="12"/>
  <c r="E52" i="12"/>
  <c r="N51" i="12"/>
  <c r="M51" i="12"/>
  <c r="L51" i="12"/>
  <c r="K51" i="12"/>
  <c r="V51" i="12" s="1" a="1"/>
  <c r="V51" i="12" s="1"/>
  <c r="J51" i="12"/>
  <c r="E51" i="12"/>
  <c r="N50" i="12"/>
  <c r="M50" i="12"/>
  <c r="L50" i="12"/>
  <c r="K50" i="12"/>
  <c r="V50" i="12" s="1" a="1"/>
  <c r="V50" i="12" s="1"/>
  <c r="J50" i="12"/>
  <c r="E50" i="12"/>
  <c r="N49" i="12"/>
  <c r="M49" i="12"/>
  <c r="L49" i="12"/>
  <c r="K49" i="12"/>
  <c r="V49" i="12" s="1" a="1"/>
  <c r="V49" i="12" s="1"/>
  <c r="J49" i="12"/>
  <c r="E49" i="12"/>
  <c r="N48" i="12"/>
  <c r="M48" i="12"/>
  <c r="L48" i="12"/>
  <c r="K48" i="12"/>
  <c r="V48" i="12" s="1" a="1"/>
  <c r="V48" i="12" s="1"/>
  <c r="J48" i="12"/>
  <c r="E48" i="12"/>
  <c r="N47" i="12"/>
  <c r="M47" i="12"/>
  <c r="L47" i="12"/>
  <c r="K47" i="12"/>
  <c r="V47" i="12" s="1" a="1"/>
  <c r="V47" i="12" s="1"/>
  <c r="J47" i="12"/>
  <c r="E47" i="12"/>
  <c r="N46" i="12"/>
  <c r="M46" i="12"/>
  <c r="L46" i="12"/>
  <c r="K46" i="12"/>
  <c r="V46" i="12" s="1" a="1"/>
  <c r="V46" i="12" s="1"/>
  <c r="J46" i="12"/>
  <c r="E46" i="12"/>
  <c r="N45" i="12"/>
  <c r="M45" i="12"/>
  <c r="L45" i="12"/>
  <c r="K45" i="12"/>
  <c r="V45" i="12" s="1" a="1"/>
  <c r="V45" i="12" s="1"/>
  <c r="J45" i="12"/>
  <c r="E45" i="12"/>
  <c r="N44" i="12"/>
  <c r="M44" i="12"/>
  <c r="L44" i="12"/>
  <c r="K44" i="12"/>
  <c r="V44" i="12" s="1" a="1"/>
  <c r="V44" i="12" s="1"/>
  <c r="J44" i="12"/>
  <c r="E44" i="12"/>
  <c r="N43" i="12"/>
  <c r="M43" i="12"/>
  <c r="L43" i="12"/>
  <c r="K43" i="12"/>
  <c r="V43" i="12" s="1" a="1"/>
  <c r="V43" i="12" s="1"/>
  <c r="J43" i="12"/>
  <c r="E43" i="12"/>
  <c r="N42" i="12"/>
  <c r="M42" i="12"/>
  <c r="L42" i="12"/>
  <c r="K42" i="12"/>
  <c r="V42" i="12" s="1" a="1"/>
  <c r="V42" i="12" s="1"/>
  <c r="J42" i="12"/>
  <c r="E42" i="12"/>
  <c r="N41" i="12"/>
  <c r="M41" i="12"/>
  <c r="L41" i="12"/>
  <c r="K41" i="12"/>
  <c r="V41" i="12" s="1" a="1"/>
  <c r="V41" i="12" s="1"/>
  <c r="J41" i="12"/>
  <c r="E41" i="12"/>
  <c r="N40" i="12"/>
  <c r="M40" i="12"/>
  <c r="L40" i="12"/>
  <c r="K40" i="12"/>
  <c r="V40" i="12" s="1" a="1"/>
  <c r="V40" i="12" s="1"/>
  <c r="J40" i="12"/>
  <c r="E40" i="12"/>
  <c r="N39" i="12"/>
  <c r="M39" i="12"/>
  <c r="L39" i="12"/>
  <c r="K39" i="12"/>
  <c r="V39" i="12" s="1" a="1"/>
  <c r="V39" i="12" s="1"/>
  <c r="J39" i="12"/>
  <c r="E39" i="12"/>
  <c r="N38" i="12"/>
  <c r="M38" i="12"/>
  <c r="L38" i="12"/>
  <c r="K38" i="12"/>
  <c r="V38" i="12" s="1" a="1"/>
  <c r="V38" i="12" s="1"/>
  <c r="J38" i="12"/>
  <c r="E38" i="12"/>
  <c r="N37" i="12"/>
  <c r="M37" i="12"/>
  <c r="L37" i="12"/>
  <c r="K37" i="12"/>
  <c r="V37" i="12" s="1" a="1"/>
  <c r="V37" i="12" s="1"/>
  <c r="J37" i="12"/>
  <c r="E37" i="12"/>
  <c r="N36" i="12"/>
  <c r="M36" i="12"/>
  <c r="L36" i="12"/>
  <c r="K36" i="12"/>
  <c r="V36" i="12" s="1" a="1"/>
  <c r="V36" i="12" s="1"/>
  <c r="J36" i="12"/>
  <c r="E36" i="12"/>
  <c r="N35" i="12"/>
  <c r="M35" i="12"/>
  <c r="L35" i="12"/>
  <c r="K35" i="12"/>
  <c r="V35" i="12" s="1" a="1"/>
  <c r="V35" i="12" s="1"/>
  <c r="J35" i="12"/>
  <c r="E35" i="12"/>
  <c r="N34" i="12"/>
  <c r="M34" i="12"/>
  <c r="L34" i="12"/>
  <c r="K34" i="12"/>
  <c r="V34" i="12" s="1" a="1"/>
  <c r="V34" i="12" s="1"/>
  <c r="J34" i="12"/>
  <c r="E34" i="12"/>
  <c r="N33" i="12"/>
  <c r="M33" i="12"/>
  <c r="L33" i="12"/>
  <c r="K33" i="12"/>
  <c r="V33" i="12" s="1" a="1"/>
  <c r="V33" i="12" s="1"/>
  <c r="J33" i="12"/>
  <c r="E33" i="12"/>
  <c r="N32" i="12"/>
  <c r="M32" i="12"/>
  <c r="L32" i="12"/>
  <c r="K32" i="12"/>
  <c r="V32" i="12" s="1" a="1"/>
  <c r="V32" i="12" s="1"/>
  <c r="J32" i="12"/>
  <c r="E32" i="12"/>
  <c r="N31" i="12"/>
  <c r="M31" i="12"/>
  <c r="L31" i="12"/>
  <c r="K31" i="12"/>
  <c r="V31" i="12" s="1" a="1"/>
  <c r="V31" i="12" s="1"/>
  <c r="J31" i="12"/>
  <c r="E31" i="12"/>
  <c r="N30" i="12"/>
  <c r="M30" i="12"/>
  <c r="L30" i="12"/>
  <c r="K30" i="12"/>
  <c r="V30" i="12" s="1" a="1"/>
  <c r="V30" i="12" s="1"/>
  <c r="J30" i="12"/>
  <c r="E30" i="12"/>
  <c r="N29" i="12"/>
  <c r="M29" i="12"/>
  <c r="L29" i="12"/>
  <c r="K29" i="12"/>
  <c r="V29" i="12" s="1" a="1"/>
  <c r="V29" i="12" s="1"/>
  <c r="J29" i="12"/>
  <c r="E29" i="12"/>
  <c r="N28" i="12"/>
  <c r="M28" i="12"/>
  <c r="L28" i="12"/>
  <c r="K28" i="12"/>
  <c r="V28" i="12" s="1" a="1"/>
  <c r="V28" i="12" s="1"/>
  <c r="J28" i="12"/>
  <c r="E28" i="12"/>
  <c r="N27" i="12"/>
  <c r="M27" i="12"/>
  <c r="L27" i="12"/>
  <c r="K27" i="12"/>
  <c r="V27" i="12" s="1" a="1"/>
  <c r="V27" i="12" s="1"/>
  <c r="J27" i="12"/>
  <c r="E27" i="12"/>
  <c r="N26" i="12"/>
  <c r="M26" i="12"/>
  <c r="L26" i="12"/>
  <c r="K26" i="12"/>
  <c r="V26" i="12" s="1" a="1"/>
  <c r="V26" i="12" s="1"/>
  <c r="J26" i="12"/>
  <c r="E26" i="12"/>
  <c r="N25" i="12"/>
  <c r="M25" i="12"/>
  <c r="L25" i="12"/>
  <c r="K25" i="12"/>
  <c r="V25" i="12" s="1" a="1"/>
  <c r="V25" i="12" s="1"/>
  <c r="J25" i="12"/>
  <c r="E25" i="12"/>
  <c r="N24" i="12"/>
  <c r="M24" i="12"/>
  <c r="L24" i="12"/>
  <c r="K24" i="12"/>
  <c r="V24" i="12" s="1" a="1"/>
  <c r="V24" i="12" s="1"/>
  <c r="J24" i="12"/>
  <c r="E24" i="12"/>
  <c r="N23" i="12"/>
  <c r="M23" i="12"/>
  <c r="L23" i="12"/>
  <c r="K23" i="12"/>
  <c r="V23" i="12" s="1" a="1"/>
  <c r="V23" i="12" s="1"/>
  <c r="J23" i="12"/>
  <c r="E23" i="12"/>
  <c r="N22" i="12"/>
  <c r="M22" i="12"/>
  <c r="L22" i="12"/>
  <c r="K22" i="12"/>
  <c r="V22" i="12" s="1" a="1"/>
  <c r="V22" i="12" s="1"/>
  <c r="J22" i="12"/>
  <c r="E22" i="12"/>
  <c r="N21" i="12"/>
  <c r="M21" i="12"/>
  <c r="L21" i="12"/>
  <c r="K21" i="12"/>
  <c r="V21" i="12" s="1" a="1"/>
  <c r="V21" i="12" s="1"/>
  <c r="J21" i="12"/>
  <c r="E21" i="12"/>
  <c r="N20" i="12"/>
  <c r="M20" i="12"/>
  <c r="L20" i="12"/>
  <c r="K20" i="12"/>
  <c r="V20" i="12" s="1" a="1"/>
  <c r="V20" i="12" s="1"/>
  <c r="J20" i="12"/>
  <c r="E20" i="12"/>
  <c r="N19" i="12"/>
  <c r="M19" i="12"/>
  <c r="L19" i="12"/>
  <c r="K19" i="12"/>
  <c r="V19" i="12" s="1" a="1"/>
  <c r="V19" i="12" s="1"/>
  <c r="J19" i="12"/>
  <c r="E19" i="12"/>
  <c r="N18" i="12"/>
  <c r="M18" i="12"/>
  <c r="L18" i="12"/>
  <c r="K18" i="12"/>
  <c r="V18" i="12" s="1" a="1"/>
  <c r="V18" i="12" s="1"/>
  <c r="J18" i="12"/>
  <c r="E18" i="12"/>
  <c r="N17" i="12"/>
  <c r="M17" i="12"/>
  <c r="L17" i="12"/>
  <c r="K17" i="12"/>
  <c r="V17" i="12" s="1" a="1"/>
  <c r="V17" i="12" s="1"/>
  <c r="J17" i="12"/>
  <c r="E17" i="12"/>
  <c r="N16" i="12"/>
  <c r="M16" i="12"/>
  <c r="L16" i="12"/>
  <c r="K16" i="12"/>
  <c r="V16" i="12" s="1" a="1"/>
  <c r="V16" i="12" s="1"/>
  <c r="J16" i="12"/>
  <c r="E16" i="12"/>
  <c r="N15" i="12"/>
  <c r="M15" i="12"/>
  <c r="L15" i="12"/>
  <c r="K15" i="12"/>
  <c r="V15" i="12" s="1" a="1"/>
  <c r="V15" i="12" s="1"/>
  <c r="J15" i="12"/>
  <c r="E15" i="12"/>
  <c r="N14" i="12"/>
  <c r="M14" i="12"/>
  <c r="L14" i="12"/>
  <c r="K14" i="12"/>
  <c r="V14" i="12" s="1" a="1"/>
  <c r="V14" i="12" s="1"/>
  <c r="J14" i="12"/>
  <c r="E14" i="12"/>
  <c r="N13" i="12"/>
  <c r="M13" i="12"/>
  <c r="L13" i="12"/>
  <c r="K13" i="12"/>
  <c r="V13" i="12" s="1" a="1"/>
  <c r="V13" i="12" s="1"/>
  <c r="J13" i="12"/>
  <c r="E13" i="12"/>
  <c r="N12" i="12"/>
  <c r="M12" i="12"/>
  <c r="L12" i="12"/>
  <c r="K12" i="12"/>
  <c r="V12" i="12" s="1" a="1"/>
  <c r="V12" i="12" s="1"/>
  <c r="J12" i="12"/>
  <c r="E12" i="12"/>
  <c r="N11" i="12"/>
  <c r="M11" i="12"/>
  <c r="L11" i="12"/>
  <c r="V11" i="12" a="1"/>
  <c r="V11" i="12" s="1"/>
  <c r="J11" i="12"/>
  <c r="E11" i="12"/>
  <c r="N10" i="12"/>
  <c r="M10" i="12"/>
  <c r="L10" i="12"/>
  <c r="K10" i="12"/>
  <c r="V10" i="12" s="1" a="1"/>
  <c r="V10" i="12" s="1"/>
  <c r="J10" i="12"/>
  <c r="E10" i="12"/>
  <c r="N9" i="12"/>
  <c r="M9" i="12"/>
  <c r="L9" i="12"/>
  <c r="K9" i="12"/>
  <c r="V9" i="12" s="1" a="1"/>
  <c r="V9" i="12" s="1"/>
  <c r="J9" i="12"/>
  <c r="E9" i="12"/>
  <c r="N8" i="12"/>
  <c r="M8" i="12"/>
  <c r="L8" i="12"/>
  <c r="K8" i="12"/>
  <c r="V8" i="12" s="1" a="1"/>
  <c r="V8" i="12" s="1"/>
  <c r="J8" i="12"/>
  <c r="E8" i="12"/>
  <c r="N7" i="12"/>
  <c r="M7" i="12"/>
  <c r="L7" i="12"/>
  <c r="K7" i="12"/>
  <c r="V7" i="12" s="1" a="1"/>
  <c r="V7" i="12" s="1"/>
  <c r="J7" i="12"/>
  <c r="E7" i="12"/>
  <c r="N6" i="12"/>
  <c r="M6" i="12"/>
  <c r="L6" i="12"/>
  <c r="K6" i="12"/>
  <c r="V6" i="12" s="1" a="1"/>
  <c r="V6" i="12" s="1"/>
  <c r="J6" i="12"/>
  <c r="E6" i="12"/>
  <c r="N5" i="12"/>
  <c r="M5" i="12"/>
  <c r="L5" i="12"/>
  <c r="K5" i="12"/>
  <c r="V5" i="12" s="1" a="1"/>
  <c r="V5" i="12" s="1"/>
  <c r="J5" i="12"/>
  <c r="E5" i="12"/>
  <c r="N4" i="12"/>
  <c r="M4" i="12"/>
  <c r="L4" i="12"/>
  <c r="K4" i="12"/>
  <c r="V4" i="12" s="1" a="1"/>
  <c r="V4" i="12" s="1"/>
  <c r="J4" i="12"/>
  <c r="E4" i="12"/>
  <c r="N3" i="12"/>
  <c r="M3" i="12"/>
  <c r="L3" i="12"/>
  <c r="K3" i="12"/>
  <c r="V3" i="12" s="1" a="1"/>
  <c r="V3" i="12" s="1"/>
  <c r="J3" i="12"/>
  <c r="E3" i="12"/>
  <c r="N95" i="12"/>
  <c r="M95" i="12"/>
  <c r="L95" i="12"/>
  <c r="K95" i="12"/>
  <c r="V95" i="12" s="1" a="1"/>
  <c r="V95" i="12" s="1"/>
  <c r="J95" i="12"/>
  <c r="E95" i="12"/>
  <c r="N94" i="12"/>
  <c r="M94" i="12"/>
  <c r="L94" i="12"/>
  <c r="K94" i="12"/>
  <c r="V94" i="12" s="1" a="1"/>
  <c r="V94" i="12" s="1"/>
  <c r="J94" i="12"/>
  <c r="E94" i="12"/>
  <c r="N93" i="12"/>
  <c r="M93" i="12"/>
  <c r="L93" i="12"/>
  <c r="K93" i="12"/>
  <c r="V93" i="12" s="1" a="1"/>
  <c r="V93" i="12" s="1"/>
  <c r="J93" i="12"/>
  <c r="E93" i="12"/>
  <c r="N92" i="12"/>
  <c r="M92" i="12"/>
  <c r="L92" i="12"/>
  <c r="K92" i="12"/>
  <c r="V92" i="12" s="1" a="1"/>
  <c r="V92" i="12" s="1"/>
  <c r="J92" i="12"/>
  <c r="E92" i="12"/>
  <c r="N91" i="12"/>
  <c r="M91" i="12"/>
  <c r="L91" i="12"/>
  <c r="K91" i="12"/>
  <c r="V91" i="12" s="1" a="1"/>
  <c r="V91" i="12" s="1"/>
  <c r="J91" i="12"/>
  <c r="E91" i="12"/>
  <c r="N90" i="12"/>
  <c r="M90" i="12"/>
  <c r="L90" i="12"/>
  <c r="K90" i="12"/>
  <c r="V90" i="12" s="1" a="1"/>
  <c r="V90" i="12" s="1"/>
  <c r="J90" i="12"/>
  <c r="E90" i="12"/>
  <c r="N89" i="12"/>
  <c r="M89" i="12"/>
  <c r="L89" i="12"/>
  <c r="K89" i="12"/>
  <c r="V89" i="12" s="1" a="1"/>
  <c r="V89" i="12" s="1"/>
  <c r="J89" i="12"/>
  <c r="E89" i="12"/>
  <c r="N88" i="12"/>
  <c r="M88" i="12"/>
  <c r="L88" i="12"/>
  <c r="K88" i="12"/>
  <c r="V88" i="12" s="1" a="1"/>
  <c r="V88" i="12" s="1"/>
  <c r="J88" i="12"/>
  <c r="E88" i="12"/>
  <c r="N87" i="12"/>
  <c r="M87" i="12"/>
  <c r="L87" i="12"/>
  <c r="K87" i="12"/>
  <c r="V87" i="12" s="1" a="1"/>
  <c r="V87" i="12" s="1"/>
  <c r="J87" i="12"/>
  <c r="E87" i="12"/>
  <c r="N86" i="12"/>
  <c r="M86" i="12"/>
  <c r="L86" i="12"/>
  <c r="K86" i="12"/>
  <c r="V86" i="12" s="1" a="1"/>
  <c r="V86" i="12" s="1"/>
  <c r="J86" i="12"/>
  <c r="E86" i="12"/>
  <c r="N85" i="12"/>
  <c r="M85" i="12"/>
  <c r="L85" i="12"/>
  <c r="K85" i="12"/>
  <c r="V85" i="12" s="1" a="1"/>
  <c r="V85" i="12" s="1"/>
  <c r="J85" i="12"/>
  <c r="E85" i="12"/>
  <c r="N84" i="12"/>
  <c r="M84" i="12"/>
  <c r="L84" i="12"/>
  <c r="K84" i="12"/>
  <c r="V84" i="12" s="1" a="1"/>
  <c r="V84" i="12" s="1"/>
  <c r="J84" i="12"/>
  <c r="E84" i="12"/>
  <c r="N83" i="12"/>
  <c r="M83" i="12"/>
  <c r="L83" i="12"/>
  <c r="K83" i="12"/>
  <c r="V83" i="12" s="1" a="1"/>
  <c r="V83" i="12" s="1"/>
  <c r="J83" i="12"/>
  <c r="E83" i="12"/>
  <c r="N82" i="12"/>
  <c r="M82" i="12"/>
  <c r="L82" i="12"/>
  <c r="K82" i="12"/>
  <c r="V82" i="12" s="1" a="1"/>
  <c r="V82" i="12" s="1"/>
  <c r="J82" i="12"/>
  <c r="E82" i="12"/>
  <c r="N81" i="12"/>
  <c r="M81" i="12"/>
  <c r="L81" i="12"/>
  <c r="K81" i="12"/>
  <c r="V81" i="12" s="1" a="1"/>
  <c r="V81" i="12" s="1"/>
  <c r="J81" i="12"/>
  <c r="E81" i="12"/>
  <c r="N80" i="12"/>
  <c r="M80" i="12"/>
  <c r="L80" i="12"/>
  <c r="K80" i="12"/>
  <c r="V80" i="12" s="1" a="1"/>
  <c r="V80" i="12" s="1"/>
  <c r="J80" i="12"/>
  <c r="E80" i="12"/>
  <c r="N79" i="12"/>
  <c r="M79" i="12"/>
  <c r="L79" i="12"/>
  <c r="K79" i="12"/>
  <c r="V79" i="12" s="1" a="1"/>
  <c r="V79" i="12" s="1"/>
  <c r="J79" i="12"/>
  <c r="E79" i="12"/>
  <c r="N78" i="12"/>
  <c r="M78" i="12"/>
  <c r="L78" i="12"/>
  <c r="K78" i="12"/>
  <c r="V78" i="12" s="1" a="1"/>
  <c r="V78" i="12" s="1"/>
  <c r="J78" i="12"/>
  <c r="E78" i="12"/>
  <c r="N77" i="12"/>
  <c r="M77" i="12"/>
  <c r="L77" i="12"/>
  <c r="K77" i="12"/>
  <c r="V77" i="12" s="1" a="1"/>
  <c r="V77" i="12" s="1"/>
  <c r="J77" i="12"/>
  <c r="E77" i="12"/>
  <c r="N76" i="12"/>
  <c r="M76" i="12"/>
  <c r="L76" i="12"/>
  <c r="K76" i="12"/>
  <c r="V76" i="12" s="1" a="1"/>
  <c r="V76" i="12" s="1"/>
  <c r="J76" i="12"/>
  <c r="E76" i="12"/>
  <c r="N75" i="12"/>
  <c r="M75" i="12"/>
  <c r="L75" i="12"/>
  <c r="K75" i="12"/>
  <c r="V75" i="12" s="1" a="1"/>
  <c r="V75" i="12" s="1"/>
  <c r="J75" i="12"/>
  <c r="E75" i="12"/>
  <c r="N74" i="12"/>
  <c r="M74" i="12"/>
  <c r="L74" i="12"/>
  <c r="K74" i="12"/>
  <c r="V74" i="12" s="1" a="1"/>
  <c r="V74" i="12" s="1"/>
  <c r="J74" i="12"/>
  <c r="E74" i="12"/>
  <c r="N73" i="12"/>
  <c r="M73" i="12"/>
  <c r="L73" i="12"/>
  <c r="V73" i="12" a="1"/>
  <c r="V73" i="12" s="1"/>
  <c r="J73" i="12"/>
  <c r="E73" i="12"/>
  <c r="N72" i="12"/>
  <c r="M72" i="12"/>
  <c r="L72" i="12"/>
  <c r="V72" i="12" a="1"/>
  <c r="V72" i="12" s="1"/>
  <c r="J72" i="12"/>
  <c r="E72" i="12"/>
  <c r="N71" i="12"/>
  <c r="M71" i="12"/>
  <c r="L71" i="12"/>
  <c r="V71" i="12" a="1"/>
  <c r="V71" i="12" s="1"/>
  <c r="J71" i="12"/>
  <c r="E71" i="12"/>
  <c r="N70" i="12"/>
  <c r="M70" i="12"/>
  <c r="L70" i="12"/>
  <c r="V70" i="12" a="1"/>
  <c r="V70" i="12" s="1"/>
  <c r="J70" i="12"/>
  <c r="E70" i="12"/>
  <c r="N69" i="12"/>
  <c r="M69" i="12"/>
  <c r="L69" i="12"/>
  <c r="V69" i="12" a="1"/>
  <c r="V69" i="12" s="1"/>
  <c r="J69" i="12"/>
  <c r="E69" i="12"/>
  <c r="N68" i="12"/>
  <c r="M68" i="12"/>
  <c r="L68" i="12"/>
  <c r="V68" i="12" a="1"/>
  <c r="V68" i="12" s="1"/>
  <c r="J68" i="12"/>
  <c r="E68" i="12"/>
  <c r="N67" i="12"/>
  <c r="M67" i="12"/>
  <c r="L67" i="12"/>
  <c r="V67" i="12" a="1"/>
  <c r="V67" i="12" s="1"/>
  <c r="J67" i="12"/>
  <c r="E67" i="12"/>
  <c r="N66" i="12"/>
  <c r="M66" i="12"/>
  <c r="L66" i="12"/>
  <c r="V66" i="12" a="1"/>
  <c r="V66" i="12" s="1"/>
  <c r="J66" i="12"/>
  <c r="E66" i="12"/>
  <c r="N96" i="12"/>
  <c r="M96" i="12"/>
  <c r="L96" i="12"/>
  <c r="K96" i="12"/>
  <c r="V96" i="12" s="1" a="1"/>
  <c r="V96" i="12" s="1"/>
  <c r="J96" i="12"/>
  <c r="E96" i="12"/>
  <c r="M2" i="19"/>
  <c r="M36" i="19"/>
  <c r="M35" i="19"/>
  <c r="M34" i="19"/>
  <c r="M33" i="19"/>
  <c r="M32" i="19"/>
  <c r="M31" i="19"/>
  <c r="M30" i="19"/>
  <c r="M29" i="19"/>
  <c r="M28" i="19"/>
  <c r="M27" i="19"/>
  <c r="M26" i="19"/>
  <c r="M25" i="19"/>
  <c r="M24" i="19"/>
  <c r="M23" i="19"/>
  <c r="M22" i="19"/>
  <c r="M21" i="19"/>
  <c r="M20" i="19"/>
  <c r="M19" i="19"/>
  <c r="M18" i="19"/>
  <c r="M17" i="19"/>
  <c r="M16" i="19"/>
  <c r="M15" i="19"/>
  <c r="M14" i="19"/>
  <c r="M13" i="19"/>
  <c r="M12" i="19"/>
  <c r="M11" i="19"/>
  <c r="M10" i="19"/>
  <c r="M9" i="19"/>
  <c r="M8" i="19"/>
  <c r="M7" i="19"/>
  <c r="M5" i="19"/>
  <c r="M4" i="19"/>
  <c r="E36" i="19"/>
  <c r="D36" i="19"/>
  <c r="E35" i="19"/>
  <c r="D35" i="19"/>
  <c r="E34" i="19"/>
  <c r="D34" i="19"/>
  <c r="E33" i="19"/>
  <c r="D33" i="19"/>
  <c r="E32" i="19"/>
  <c r="D32" i="19"/>
  <c r="E31" i="19"/>
  <c r="D31" i="19"/>
  <c r="E30" i="19"/>
  <c r="D30" i="19"/>
  <c r="E29" i="19"/>
  <c r="D29" i="19"/>
  <c r="E28" i="19"/>
  <c r="D28" i="19"/>
  <c r="E27" i="19"/>
  <c r="D27" i="19"/>
  <c r="E26" i="19"/>
  <c r="D26" i="19"/>
  <c r="E25" i="19"/>
  <c r="D25" i="19"/>
  <c r="E24" i="19"/>
  <c r="D24" i="19"/>
  <c r="E23" i="19"/>
  <c r="D23" i="19"/>
  <c r="E22" i="19"/>
  <c r="D22" i="19"/>
  <c r="E21" i="19"/>
  <c r="D21" i="19"/>
  <c r="E20" i="19"/>
  <c r="D20" i="19"/>
  <c r="E19" i="19"/>
  <c r="D19" i="19"/>
  <c r="E18" i="19"/>
  <c r="D18" i="19"/>
  <c r="E17" i="19"/>
  <c r="D17" i="19"/>
  <c r="E16" i="19"/>
  <c r="D16" i="19"/>
  <c r="E15" i="19"/>
  <c r="D15" i="19"/>
  <c r="E14" i="19"/>
  <c r="D14" i="19"/>
  <c r="E13" i="19"/>
  <c r="D13" i="19"/>
  <c r="E12" i="19"/>
  <c r="D12" i="19"/>
  <c r="E11" i="19"/>
  <c r="D11" i="19"/>
  <c r="E10" i="19"/>
  <c r="D10" i="19"/>
  <c r="E9" i="19"/>
  <c r="D9" i="19"/>
  <c r="E8" i="19"/>
  <c r="D8" i="19"/>
  <c r="E7" i="19"/>
  <c r="D7" i="19"/>
  <c r="E6" i="19"/>
  <c r="D6" i="19"/>
  <c r="M6" i="19" s="1"/>
  <c r="E5" i="19"/>
  <c r="D5" i="19"/>
  <c r="E4" i="19"/>
  <c r="D4" i="19"/>
  <c r="E3" i="19"/>
  <c r="D3" i="19"/>
  <c r="M3" i="19" s="1"/>
  <c r="E2" i="19"/>
  <c r="D2" i="19"/>
  <c r="J2" i="12"/>
  <c r="N2" i="12"/>
  <c r="M2" i="12"/>
  <c r="L2" i="12"/>
  <c r="K2" i="12"/>
  <c r="V2" i="12" a="1"/>
  <c r="V2" i="12"/>
  <c r="E2" i="12"/>
  <c r="K97" i="12"/>
  <c r="L97" i="12"/>
  <c r="M97" i="12"/>
  <c r="N97" i="12"/>
  <c r="K98" i="12"/>
  <c r="L98" i="12"/>
  <c r="M98" i="12"/>
  <c r="N98" i="12"/>
  <c r="N99" i="12"/>
  <c r="J98" i="12"/>
  <c r="E98" i="12"/>
  <c r="J97" i="12"/>
  <c r="E97" i="12"/>
  <c r="M99" i="12"/>
  <c r="L99" i="12"/>
  <c r="K99" i="12"/>
  <c r="J99" i="12"/>
  <c r="E99" i="12"/>
  <c r="V98" i="12" a="1"/>
  <c r="V98" i="12"/>
  <c r="V97" i="12" a="1"/>
  <c r="V97" i="12"/>
  <c r="V99" i="12" a="1"/>
  <c r="V99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<sst xmlns="http://schemas.openxmlformats.org/spreadsheetml/2006/main" count="185" uniqueCount="123">
  <si>
    <t>Corp.</t>
    <phoneticPr fontId="1" type="noConversion"/>
  </si>
  <si>
    <t>기준가</t>
  </si>
  <si>
    <t>수량</t>
  </si>
  <si>
    <t>단가</t>
  </si>
  <si>
    <t>대비</t>
  </si>
  <si>
    <t>Low</t>
  </si>
  <si>
    <t>High</t>
  </si>
  <si>
    <t>L date</t>
  </si>
  <si>
    <t>H (cf. L)</t>
  </si>
  <si>
    <t>H/L</t>
  </si>
  <si>
    <t>F2</t>
  </si>
  <si>
    <t>F3</t>
  </si>
  <si>
    <t>F4</t>
  </si>
  <si>
    <t>F5</t>
  </si>
  <si>
    <t>F series</t>
  </si>
  <si>
    <t>buy2(cf. H)</t>
  </si>
  <si>
    <t>buy3(cf. 2)</t>
  </si>
  <si>
    <t>buy4(cf. 3)</t>
  </si>
  <si>
    <t>sell(cf. buy)</t>
  </si>
  <si>
    <t>sell date</t>
  </si>
  <si>
    <t>sell price</t>
  </si>
  <si>
    <t>rbn rate</t>
  </si>
  <si>
    <t>와이즈버즈</t>
  </si>
  <si>
    <t>모비데이즈</t>
  </si>
  <si>
    <t>플레이디</t>
  </si>
  <si>
    <t>가온칩스</t>
  </si>
  <si>
    <t>+3</t>
  </si>
  <si>
    <t>+2</t>
  </si>
  <si>
    <t>마이크로투나노</t>
  </si>
  <si>
    <t>+1</t>
  </si>
  <si>
    <t>덕산하이메탈</t>
  </si>
  <si>
    <t>+5</t>
  </si>
  <si>
    <t>칩스앤미디어</t>
  </si>
  <si>
    <t>프로텍</t>
  </si>
  <si>
    <t>펨트론</t>
  </si>
  <si>
    <t>기가비스</t>
  </si>
  <si>
    <t>티에프이</t>
  </si>
  <si>
    <t>이수페타시스</t>
  </si>
  <si>
    <t>루닛</t>
  </si>
  <si>
    <t>뷰노</t>
  </si>
  <si>
    <t>지니너스</t>
  </si>
  <si>
    <t>인성정보</t>
  </si>
  <si>
    <t>큐렉소</t>
  </si>
  <si>
    <t>미래컴퍼니</t>
  </si>
  <si>
    <t>신성이엔지</t>
  </si>
  <si>
    <t>+4</t>
  </si>
  <si>
    <t>케이엔솔</t>
  </si>
  <si>
    <t>풍국주정</t>
  </si>
  <si>
    <t>한일화학</t>
  </si>
  <si>
    <t>+0</t>
  </si>
  <si>
    <t>STX</t>
  </si>
  <si>
    <t>RF머트리얼즈</t>
  </si>
  <si>
    <t>동국알앤에스</t>
  </si>
  <si>
    <t>성안</t>
  </si>
  <si>
    <t>금양</t>
  </si>
  <si>
    <t>롯데에너지머티리얼즈</t>
  </si>
  <si>
    <t>코스모화학</t>
  </si>
  <si>
    <t>에코프로</t>
  </si>
  <si>
    <t>테라사이언스</t>
  </si>
  <si>
    <t>하나기술</t>
  </si>
  <si>
    <t>+8</t>
  </si>
  <si>
    <t>대원강업</t>
  </si>
  <si>
    <t>성우하이텍</t>
  </si>
  <si>
    <t>덕양산업</t>
  </si>
  <si>
    <t>에코플라스틱</t>
  </si>
  <si>
    <t>서연이화</t>
  </si>
  <si>
    <t>알루코</t>
  </si>
  <si>
    <t>삼보모터스</t>
  </si>
  <si>
    <t>아진산업</t>
  </si>
  <si>
    <t>제일전기공업</t>
  </si>
  <si>
    <t>에스트래픽</t>
  </si>
  <si>
    <t>유라테크</t>
  </si>
  <si>
    <t>상보</t>
  </si>
  <si>
    <t>태경비케이</t>
  </si>
  <si>
    <t>엠에스씨</t>
  </si>
  <si>
    <t>대한제당</t>
  </si>
  <si>
    <t>파이버프로</t>
  </si>
  <si>
    <t>기산텔레콤</t>
  </si>
  <si>
    <t>신스틸</t>
  </si>
  <si>
    <t>다산네트웍스</t>
  </si>
  <si>
    <t>갱신</t>
  </si>
  <si>
    <t>알비케이그룹</t>
  </si>
  <si>
    <t>삼부토건</t>
  </si>
  <si>
    <t>에스와이</t>
  </si>
  <si>
    <t>금강공업</t>
  </si>
  <si>
    <t>덕신하우징</t>
  </si>
  <si>
    <t>보라티알</t>
  </si>
  <si>
    <t>신송홀딩스</t>
  </si>
  <si>
    <t>인산가</t>
  </si>
  <si>
    <t>위드텍</t>
  </si>
  <si>
    <t>화천기계</t>
  </si>
  <si>
    <t>오파스넷</t>
  </si>
  <si>
    <t>KG모빌리언스</t>
  </si>
  <si>
    <t>하인크코리아</t>
  </si>
  <si>
    <t>동국홀딩스</t>
  </si>
  <si>
    <t>랩지노믹스</t>
  </si>
  <si>
    <t>우양</t>
  </si>
  <si>
    <t>필옵틱스</t>
  </si>
  <si>
    <t>+7</t>
  </si>
  <si>
    <t>유니퀘스트</t>
  </si>
  <si>
    <t>웨이버스</t>
  </si>
  <si>
    <t>HB솔루션</t>
  </si>
  <si>
    <t>동운아나텍</t>
  </si>
  <si>
    <t>케이알엠</t>
  </si>
  <si>
    <t>지아이이노베이션</t>
  </si>
  <si>
    <t>UL date</t>
  </si>
  <si>
    <t>R0</t>
  </si>
  <si>
    <t>R1</t>
  </si>
  <si>
    <t>R2</t>
  </si>
  <si>
    <t>R3</t>
  </si>
  <si>
    <t>R Series</t>
  </si>
  <si>
    <t>buy1</t>
  </si>
  <si>
    <t>buy2</t>
  </si>
  <si>
    <t>sell</t>
  </si>
  <si>
    <t>time over</t>
  </si>
  <si>
    <t>카페24</t>
  </si>
  <si>
    <t>R1성공</t>
  </si>
  <si>
    <t>에이디엠코리아</t>
  </si>
  <si>
    <t>SG</t>
  </si>
  <si>
    <t>R1탈출</t>
  </si>
  <si>
    <t>알멕</t>
  </si>
  <si>
    <t>포커스에이치엔에스</t>
  </si>
  <si>
    <t>약한상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</si>
</sst>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41" fontId="4" fillId="0" borderId="0" xfId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1" fontId="4" fillId="0" borderId="4" xfId="1" applyFont="1" applyFill="1" applyBorder="1" applyAlignment="1">
      <alignment horizontal="center" vertical="center"/>
    </xf>
    <xf numFmtId="41" fontId="4" fillId="0" borderId="7" xfId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9" xfId="0" applyBorder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4" fontId="0" fillId="0" borderId="9" xfId="0" applyNumberFormat="1" applyBorder="1">
      <alignment vertical="center"/>
    </xf>
    <xf numFmtId="10" fontId="0" fillId="0" borderId="5" xfId="0" applyNumberFormat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right" vertical="center"/>
    </xf>
    <xf numFmtId="10" fontId="4" fillId="0" borderId="8" xfId="0" applyNumberFormat="1" applyFont="1" applyBorder="1" applyAlignment="1">
      <alignment horizontal="right" vertical="center"/>
    </xf>
    <xf numFmtId="0" fontId="0" fillId="0" borderId="0" xfId="0" quotePrefix="1" applyAlignment="1">
      <alignment horizontal="center" vertical="center"/>
    </xf>
    <xf numFmtId="0" fontId="0" fillId="0" borderId="7" xfId="0" applyBorder="1">
      <alignment vertical="center"/>
    </xf>
    <xf numFmtId="10" fontId="0" fillId="0" borderId="8" xfId="0" applyNumberFormat="1" applyBorder="1">
      <alignment vertical="center"/>
    </xf>
    <xf numFmtId="41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41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41" fontId="4" fillId="0" borderId="6" xfId="1" applyFont="1" applyFill="1" applyBorder="1" applyAlignment="1">
      <alignment horizontal="center" vertical="center"/>
    </xf>
    <xf numFmtId="41" fontId="4" fillId="0" borderId="12" xfId="0" applyNumberFormat="1" applyFont="1" applyBorder="1" applyAlignment="1">
      <alignment horizontal="center" vertical="center"/>
    </xf>
    <xf numFmtId="41" fontId="0" fillId="0" borderId="0" xfId="0" applyNumberFormat="1" applyAlignment="1">
      <alignment horizontal="right" vertical="center"/>
    </xf>
    <xf numFmtId="41" fontId="0" fillId="0" borderId="4" xfId="0" applyNumberFormat="1" applyBorder="1" applyAlignment="1">
      <alignment horizontal="right" vertical="center"/>
    </xf>
    <xf numFmtId="41" fontId="0" fillId="0" borderId="5" xfId="0" applyNumberFormat="1" applyBorder="1" applyAlignment="1">
      <alignment horizontal="right" vertical="center"/>
    </xf>
    <xf numFmtId="41" fontId="4" fillId="0" borderId="11" xfId="0" applyNumberFormat="1" applyFont="1" applyBorder="1" applyAlignment="1">
      <alignment horizontal="center" vertical="center"/>
    </xf>
    <xf numFmtId="41" fontId="4" fillId="0" borderId="14" xfId="0" applyNumberFormat="1" applyFont="1" applyBorder="1" applyAlignment="1">
      <alignment horizontal="center" vertical="center"/>
    </xf>
    <xf numFmtId="41" fontId="0" fillId="0" borderId="7" xfId="0" applyNumberFormat="1" applyBorder="1" applyAlignment="1">
      <alignment horizontal="right" vertical="center"/>
    </xf>
    <xf numFmtId="41" fontId="0" fillId="0" borderId="6" xfId="0" applyNumberFormat="1" applyBorder="1" applyAlignment="1">
      <alignment horizontal="right" vertical="center"/>
    </xf>
    <xf numFmtId="41" fontId="0" fillId="0" borderId="8" xfId="0" applyNumberFormat="1" applyBorder="1" applyAlignment="1">
      <alignment horizontal="right" vertical="center"/>
    </xf>
    <xf numFmtId="41" fontId="0" fillId="2" borderId="4" xfId="0" applyNumberFormat="1" applyFill="1" applyBorder="1" applyAlignment="1">
      <alignment horizontal="right" vertical="center"/>
    </xf>
    <xf numFmtId="41" fontId="0" fillId="3" borderId="4" xfId="0" applyNumberFormat="1" applyFill="1" applyBorder="1" applyAlignment="1">
      <alignment horizontal="right" vertical="center"/>
    </xf>
    <xf numFmtId="41" fontId="0" fillId="3" borderId="5" xfId="0" applyNumberFormat="1" applyFill="1" applyBorder="1" applyAlignment="1">
      <alignment horizontal="right" vertical="center"/>
    </xf>
    <xf numFmtId="10" fontId="4" fillId="0" borderId="7" xfId="0" applyNumberFormat="1" applyFont="1" applyBorder="1" applyAlignment="1">
      <alignment horizontal="right" vertical="center"/>
    </xf>
    <xf numFmtId="41" fontId="2" fillId="0" borderId="0" xfId="1" applyFont="1" applyFill="1" applyBorder="1" applyAlignment="1">
      <alignment horizontal="center" vertical="center"/>
    </xf>
    <xf numFmtId="10" fontId="4" fillId="0" borderId="0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109">
    <dxf>
      <fill>
        <patternFill patternType="solid">
          <bgColor theme="9" tint="0.59999389629810485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CE4D6"/>
        </patternFill>
      </fill>
    </dxf>
    <dxf>
      <font>
        <b/>
        <i val="0"/>
        <color rgb="FF9C0006"/>
      </font>
      <fill>
        <patternFill patternType="solid">
          <bgColor rgb="FFFF899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7CE"/>
      <color rgb="FFFF8997"/>
      <color rgb="FFFF7171"/>
      <color rgb="FF4B77C5"/>
      <color rgb="FF6D91D1"/>
      <color rgb="FF060084"/>
      <color rgb="FF2E0399"/>
      <color rgb="FFFFE7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9FA1-905C-4A0C-ADC5-5EDC85A9FFBB}">
  <sheetPr>
    <pageSetUpPr fitToPage="1"/>
  </sheetPr>
  <dimension ref="A1:AC209"/>
  <sheetViews>
    <sheetView tabSelected="1" zoomScale="85" zoomScaleNormal="85" workbookViewId="0">
      <pane xSplit="1" ySplit="1" topLeftCell="N78" activePane="bottomRight" state="frozen"/>
      <selection pane="bottomRight" sqref="A1:V99"/>
      <selection pane="bottomLeft"/>
      <selection pane="topRight"/>
    </sheetView>
  </sheetViews>
  <sheetFormatPr defaultColWidth="9" defaultRowHeight="16.5"/>
  <cols>
    <col min="1" max="1" width="13.125" style="33" bestFit="1" customWidth="1"/>
    <col min="2" max="2" width="9.5" style="31" hidden="1" customWidth="1"/>
    <col min="3" max="3" width="5.375" style="3" bestFit="1" customWidth="1"/>
    <col min="4" max="4" width="8.5" style="3" bestFit="1" customWidth="1"/>
    <col min="5" max="7" width="9.5" style="3" bestFit="1" customWidth="1"/>
    <col min="8" max="8" width="11.5" style="3" bestFit="1" customWidth="1"/>
    <col min="9" max="9" width="8.25" style="3" bestFit="1" customWidth="1"/>
    <col min="10" max="10" width="6.75" style="3" bestFit="1" customWidth="1"/>
    <col min="11" max="14" width="9.5" style="3" bestFit="1" customWidth="1"/>
    <col min="15" max="15" width="9.375" style="3" bestFit="1" customWidth="1"/>
    <col min="16" max="16" width="11" style="3" bestFit="1" customWidth="1"/>
    <col min="17" max="18" width="10.5" style="32" bestFit="1" customWidth="1"/>
    <col min="19" max="19" width="11.375" style="32" bestFit="1" customWidth="1"/>
    <col min="20" max="20" width="11.5" style="3" customWidth="1"/>
    <col min="21" max="21" width="9.5" style="3" bestFit="1" customWidth="1"/>
    <col min="22" max="22" width="8.5" style="35" bestFit="1" customWidth="1"/>
    <col min="23" max="23" width="2.75" style="3" customWidth="1"/>
    <col min="24" max="16384" width="9" style="3"/>
  </cols>
  <sheetData>
    <row r="1" spans="1:29">
      <c r="A1" s="37" t="s">
        <v>0</v>
      </c>
      <c r="B1" s="38" t="s">
        <v>1</v>
      </c>
      <c r="C1" s="6" t="s">
        <v>2</v>
      </c>
      <c r="D1" s="6" t="s">
        <v>3</v>
      </c>
      <c r="E1" s="6" t="s">
        <v>4</v>
      </c>
      <c r="F1" s="37" t="s">
        <v>5</v>
      </c>
      <c r="G1" s="6" t="s">
        <v>6</v>
      </c>
      <c r="H1" s="6" t="s">
        <v>7</v>
      </c>
      <c r="I1" s="39" t="s">
        <v>8</v>
      </c>
      <c r="J1" s="39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39" t="s">
        <v>14</v>
      </c>
      <c r="P1" s="6" t="s">
        <v>15</v>
      </c>
      <c r="Q1" s="24" t="s">
        <v>16</v>
      </c>
      <c r="R1" s="42" t="s">
        <v>17</v>
      </c>
      <c r="S1" s="24" t="s">
        <v>18</v>
      </c>
      <c r="T1" s="6" t="s">
        <v>19</v>
      </c>
      <c r="U1" s="6" t="s">
        <v>20</v>
      </c>
      <c r="V1" s="39" t="s">
        <v>21</v>
      </c>
      <c r="X1" s="3">
        <v>50</v>
      </c>
    </row>
    <row r="2" spans="1:29">
      <c r="A2" s="40"/>
      <c r="B2" s="5"/>
      <c r="C2" s="5" t="str">
        <f>IFERROR($X$1*10000/D2,"")</f>
        <v/>
      </c>
      <c r="D2" s="5"/>
      <c r="E2" s="64" t="str">
        <f>IFERROR(D2/B2-1,"")</f>
        <v/>
      </c>
      <c r="F2" s="7"/>
      <c r="G2" s="5"/>
      <c r="H2" s="65"/>
      <c r="I2" s="9"/>
      <c r="J2" s="4" t="str">
        <f>IFERROR(G2/F2-1,"")</f>
        <v/>
      </c>
      <c r="K2" s="5">
        <f>IFERROR(ROUND($F2+($G2-$F2)*0.632,0),"")</f>
        <v>0</v>
      </c>
      <c r="L2" s="5">
        <f>IFERROR(ROUND($F2+($G2-$F2)*0.5,0),"")</f>
        <v>0</v>
      </c>
      <c r="M2" s="5">
        <f>IFERROR(ROUND($F2+($G2-$F2)*0.368,0),"")</f>
        <v>0</v>
      </c>
      <c r="N2" s="5">
        <f>IFERROR(ROUND($F2+($G2-$F2)*0.214,0),"")</f>
        <v>0</v>
      </c>
      <c r="O2" s="9"/>
      <c r="P2" s="65"/>
      <c r="Q2" s="66"/>
      <c r="R2" s="43"/>
      <c r="S2" s="65"/>
      <c r="T2" s="65"/>
      <c r="U2" s="5"/>
      <c r="V2" s="26" t="str" cm="1">
        <f t="array" ref="V2">IFERROR(_xlfn.IFS(O2="F2",U2/K2,O2="F23",U2/L2,O2="F234",U2/M2,O2="F3",U2/L2,O2="F34",U2/M2,O2="F234손절",U2/K2,O2="F2345손절",U2/K2,O2="F34손절",U2/L2,O2="F345손절",U2/L2)-1,"")</f>
        <v/>
      </c>
    </row>
    <row r="3" spans="1:29">
      <c r="A3" s="36" t="s">
        <v>22</v>
      </c>
      <c r="B3" s="5">
        <v>1674</v>
      </c>
      <c r="C3" s="5" t="str">
        <f t="shared" ref="C3:C6" si="0">IFERROR($X$1*10000/D3,"")</f>
        <v/>
      </c>
      <c r="D3" s="5"/>
      <c r="E3" s="64">
        <f t="shared" ref="E3:E65" si="1">IFERROR(D3/B3-1,"")</f>
        <v>-1</v>
      </c>
      <c r="F3" s="7"/>
      <c r="G3" s="5"/>
      <c r="H3" s="65"/>
      <c r="I3" s="9"/>
      <c r="J3" s="4" t="str">
        <f t="shared" ref="J3:J65" si="2">IFERROR(G3/F3-1,"")</f>
        <v/>
      </c>
      <c r="K3" s="5">
        <f xml:space="preserve"> COUNTIFS('F series'!T12:T40,#REF!, 'F series'!O12:O40,#REF!)</f>
        <v>0</v>
      </c>
      <c r="L3" s="5">
        <f t="shared" ref="L3:L65" si="3">IFERROR(ROUND($F3+($G3-$F3)*0.5,0),"")</f>
        <v>0</v>
      </c>
      <c r="M3" s="5">
        <f t="shared" ref="M3:M65" si="4">IFERROR(ROUND($F3+($G3-$F3)*0.368,0),"")</f>
        <v>0</v>
      </c>
      <c r="N3" s="5">
        <f t="shared" ref="N3:N65" si="5">IFERROR(ROUND($F3+($G3-$F3)*0.214,0),"")</f>
        <v>0</v>
      </c>
      <c r="O3" s="9"/>
      <c r="P3" s="65"/>
      <c r="Q3" s="66"/>
      <c r="R3" s="43"/>
      <c r="S3" s="65"/>
      <c r="T3" s="65"/>
      <c r="U3" s="5"/>
      <c r="V3" s="26" t="str" cm="1">
        <f t="array" ref="V3">IFERROR(_xlfn.IFS(O3="F2",U3/K3,O3="F23",U3/L3,O3="F234",U3/M3,O3="F3",U3/L3,O3="F34",U3/M3,O3="F234손절",U3/K3,O3="F2345손절",U3/K3,O3="F34손절",U3/L3,O3="F345손절",U3/L3)-1,"")</f>
        <v/>
      </c>
      <c r="Z3" s="48"/>
      <c r="AB3" s="48"/>
      <c r="AC3" s="34"/>
    </row>
    <row r="4" spans="1:29">
      <c r="A4" s="36" t="s">
        <v>23</v>
      </c>
      <c r="B4" s="5">
        <v>1212</v>
      </c>
      <c r="C4" s="5" t="str">
        <f t="shared" si="0"/>
        <v/>
      </c>
      <c r="D4" s="5"/>
      <c r="E4" s="64">
        <f t="shared" si="1"/>
        <v>-1</v>
      </c>
      <c r="F4" s="7"/>
      <c r="G4" s="5"/>
      <c r="H4" s="65"/>
      <c r="I4" s="9"/>
      <c r="J4" s="4" t="str">
        <f t="shared" si="2"/>
        <v/>
      </c>
      <c r="K4" s="5">
        <f t="shared" ref="K4:K11" si="6">IFERROR(ROUND($F4+($G4-$F4)*0.632,0),"")</f>
        <v>0</v>
      </c>
      <c r="L4" s="5">
        <f t="shared" si="3"/>
        <v>0</v>
      </c>
      <c r="M4" s="5">
        <f t="shared" si="4"/>
        <v>0</v>
      </c>
      <c r="N4" s="5">
        <f t="shared" si="5"/>
        <v>0</v>
      </c>
      <c r="O4" s="9"/>
      <c r="P4" s="65"/>
      <c r="Q4" s="66"/>
      <c r="R4" s="43"/>
      <c r="S4" s="66"/>
      <c r="T4" s="65"/>
      <c r="U4" s="5"/>
      <c r="V4" s="26" t="str" cm="1">
        <f t="array" ref="V4">IFERROR(_xlfn.IFS(O4="F2",U4/K4,O4="F23",U4/L4,O4="F234",U4/M4,O4="F3",U4/L4,O4="F34",U4/M4,O4="F234손절",U4/K4,O4="F2345손절",U4/K4,O4="F34손절",U4/L4,O4="F345손절",U4/L4)-1,"")</f>
        <v/>
      </c>
      <c r="Z4" s="48"/>
      <c r="AB4" s="48"/>
      <c r="AC4" s="34"/>
    </row>
    <row r="5" spans="1:29">
      <c r="A5" s="36" t="s">
        <v>24</v>
      </c>
      <c r="B5" s="5">
        <v>6650</v>
      </c>
      <c r="C5" s="5" t="str">
        <f t="shared" si="0"/>
        <v/>
      </c>
      <c r="D5" s="5"/>
      <c r="E5" s="64">
        <f t="shared" si="1"/>
        <v>-1</v>
      </c>
      <c r="F5" s="7"/>
      <c r="G5" s="5"/>
      <c r="H5" s="65"/>
      <c r="I5" s="9"/>
      <c r="J5" s="4" t="str">
        <f t="shared" si="2"/>
        <v/>
      </c>
      <c r="K5" s="5">
        <f t="shared" si="6"/>
        <v>0</v>
      </c>
      <c r="L5" s="5">
        <f t="shared" si="3"/>
        <v>0</v>
      </c>
      <c r="M5" s="5">
        <f t="shared" si="4"/>
        <v>0</v>
      </c>
      <c r="N5" s="5">
        <f t="shared" si="5"/>
        <v>0</v>
      </c>
      <c r="O5" s="9"/>
      <c r="P5" s="65"/>
      <c r="Q5" s="66"/>
      <c r="R5" s="43"/>
      <c r="S5" s="65"/>
      <c r="T5" s="65"/>
      <c r="U5" s="5"/>
      <c r="V5" s="26" t="str" cm="1">
        <f t="array" ref="V5">IFERROR(_xlfn.IFS(O5="F2",U5/K5,O5="F23",U5/L5,O5="F234",U5/M5,O5="F3",U5/L5,O5="F34",U5/M5,O5="F234손절",U5/K5,O5="F2345손절",U5/K5,O5="F34손절",U5/L5,O5="F345손절",U5/L5)-1,"")</f>
        <v/>
      </c>
      <c r="Z5" s="48"/>
      <c r="AB5" s="48"/>
      <c r="AC5" s="34"/>
    </row>
    <row r="6" spans="1:29">
      <c r="A6" s="36"/>
      <c r="B6" s="5"/>
      <c r="C6" s="5" t="str">
        <f t="shared" si="0"/>
        <v/>
      </c>
      <c r="D6" s="5"/>
      <c r="E6" s="64" t="str">
        <f t="shared" si="1"/>
        <v/>
      </c>
      <c r="F6" s="7"/>
      <c r="G6" s="5"/>
      <c r="H6" s="65"/>
      <c r="I6" s="9"/>
      <c r="J6" s="4" t="str">
        <f t="shared" si="2"/>
        <v/>
      </c>
      <c r="K6" s="5">
        <f t="shared" si="6"/>
        <v>0</v>
      </c>
      <c r="L6" s="5">
        <f t="shared" si="3"/>
        <v>0</v>
      </c>
      <c r="M6" s="5">
        <f t="shared" si="4"/>
        <v>0</v>
      </c>
      <c r="N6" s="5">
        <f t="shared" si="5"/>
        <v>0</v>
      </c>
      <c r="O6" s="9"/>
      <c r="P6" s="65"/>
      <c r="Q6" s="66"/>
      <c r="R6" s="43"/>
      <c r="S6" s="65"/>
      <c r="T6" s="65"/>
      <c r="U6" s="5"/>
      <c r="V6" s="26" t="str" cm="1">
        <f t="array" ref="V6">IFERROR(_xlfn.IFS(O6="F2",U6/K6,O6="F23",U6/L6,O6="F234",U6/M6,O6="F3",U6/L6,O6="F34",U6/M6,O6="F234손절",U6/K6,O6="F2345손절",U6/K6,O6="F34손절",U6/L6,O6="F345손절",U6/L6)-1,"")</f>
        <v/>
      </c>
    </row>
    <row r="7" spans="1:29">
      <c r="A7" s="36" t="s">
        <v>25</v>
      </c>
      <c r="B7" s="5">
        <v>37500</v>
      </c>
      <c r="C7" s="5">
        <f>IFERROR($X$1*10000/D7,"")</f>
        <v>14.184397163120567</v>
      </c>
      <c r="D7" s="5">
        <v>35250</v>
      </c>
      <c r="E7" s="64">
        <f t="shared" si="1"/>
        <v>-6.0000000000000053E-2</v>
      </c>
      <c r="F7" s="7">
        <v>30700</v>
      </c>
      <c r="G7" s="5">
        <v>39850</v>
      </c>
      <c r="H7" s="67">
        <v>45107</v>
      </c>
      <c r="I7" s="47" t="s">
        <v>26</v>
      </c>
      <c r="J7" s="4">
        <f t="shared" si="2"/>
        <v>0.2980456026058631</v>
      </c>
      <c r="K7" s="63">
        <f t="shared" si="6"/>
        <v>36483</v>
      </c>
      <c r="L7" s="63">
        <f t="shared" si="3"/>
        <v>35275</v>
      </c>
      <c r="M7" s="5">
        <f t="shared" si="4"/>
        <v>34067</v>
      </c>
      <c r="N7" s="5">
        <f t="shared" si="5"/>
        <v>32658</v>
      </c>
      <c r="O7" s="9"/>
      <c r="P7" s="68" t="s">
        <v>27</v>
      </c>
      <c r="Q7" s="66"/>
      <c r="R7" s="43"/>
      <c r="S7" s="66"/>
      <c r="T7" s="65"/>
      <c r="U7" s="5"/>
      <c r="V7" s="26" t="str" cm="1">
        <f t="array" ref="V7">IFERROR(_xlfn.IFS(O7="F2",U7/K7,O7="F23",U7/L7,O7="F234",U7/M7,O7="F3",U7/L7,O7="F34",U7/M7,O7="F234손절",U7/K7,O7="F2345손절",U7/K7,O7="F34손절",U7/L7,O7="F345손절",U7/L7)-1,"")</f>
        <v/>
      </c>
      <c r="Z7" s="48"/>
      <c r="AB7" s="48"/>
      <c r="AC7" s="34"/>
    </row>
    <row r="8" spans="1:29">
      <c r="A8" s="36" t="s">
        <v>28</v>
      </c>
      <c r="B8" s="5">
        <v>23100</v>
      </c>
      <c r="C8" s="5">
        <f t="shared" ref="C8:C71" si="7">IFERROR($X$1*10000/D8,"")</f>
        <v>23.094688221709006</v>
      </c>
      <c r="D8" s="5">
        <v>21650</v>
      </c>
      <c r="E8" s="64">
        <f t="shared" si="1"/>
        <v>-6.277056277056281E-2</v>
      </c>
      <c r="F8" s="7">
        <v>18100</v>
      </c>
      <c r="G8" s="5">
        <v>25250</v>
      </c>
      <c r="H8" s="67">
        <v>45107</v>
      </c>
      <c r="I8" s="47" t="s">
        <v>26</v>
      </c>
      <c r="J8" s="4">
        <f t="shared" si="2"/>
        <v>0.3950276243093922</v>
      </c>
      <c r="K8" s="63">
        <f t="shared" si="6"/>
        <v>22619</v>
      </c>
      <c r="L8" s="63">
        <f t="shared" si="3"/>
        <v>21675</v>
      </c>
      <c r="M8" s="5">
        <f t="shared" si="4"/>
        <v>20731</v>
      </c>
      <c r="N8" s="5">
        <f t="shared" si="5"/>
        <v>19630</v>
      </c>
      <c r="O8" s="9"/>
      <c r="P8" s="68" t="s">
        <v>29</v>
      </c>
      <c r="Q8" s="66"/>
      <c r="R8" s="43"/>
      <c r="S8" s="65"/>
      <c r="T8" s="65"/>
      <c r="U8" s="5"/>
      <c r="V8" s="26" t="str" cm="1">
        <f t="array" ref="V8">IFERROR(_xlfn.IFS(O8="F2",U8/K8,O8="F23",U8/L8,O8="F234",U8/M8,O8="F3",U8/L8,O8="F34",U8/M8,O8="F234손절",U8/K8,O8="F2345손절",U8/K8,O8="F34손절",U8/L8,O8="F345손절",U8/L8)-1,"")</f>
        <v/>
      </c>
      <c r="Z8" s="48"/>
      <c r="AB8" s="48"/>
      <c r="AC8" s="34"/>
    </row>
    <row r="9" spans="1:29">
      <c r="A9" s="36" t="s">
        <v>30</v>
      </c>
      <c r="B9" s="5">
        <v>9240</v>
      </c>
      <c r="C9" s="5">
        <f t="shared" si="7"/>
        <v>59.594755661501786</v>
      </c>
      <c r="D9" s="5">
        <v>8390</v>
      </c>
      <c r="E9" s="64">
        <f t="shared" si="1"/>
        <v>-9.1991341991341957E-2</v>
      </c>
      <c r="F9" s="7">
        <v>6890</v>
      </c>
      <c r="G9" s="5">
        <v>9890</v>
      </c>
      <c r="H9" s="67">
        <v>45107</v>
      </c>
      <c r="I9" s="47" t="s">
        <v>31</v>
      </c>
      <c r="J9" s="4">
        <f t="shared" si="2"/>
        <v>0.43541364296081286</v>
      </c>
      <c r="K9" s="63">
        <f t="shared" si="6"/>
        <v>8786</v>
      </c>
      <c r="L9" s="63">
        <f t="shared" si="3"/>
        <v>8390</v>
      </c>
      <c r="M9" s="5">
        <f t="shared" si="4"/>
        <v>7994</v>
      </c>
      <c r="N9" s="5">
        <f t="shared" si="5"/>
        <v>7532</v>
      </c>
      <c r="O9" s="9"/>
      <c r="P9" s="65"/>
      <c r="Q9" s="66"/>
      <c r="R9" s="43"/>
      <c r="S9" s="65"/>
      <c r="T9" s="65"/>
      <c r="U9" s="5"/>
      <c r="V9" s="26" t="str" cm="1">
        <f t="array" ref="V9">IFERROR(_xlfn.IFS(O9="F2",U9/K9,O9="F23",U9/L9,O9="F234",U9/M9,O9="F3",U9/L9,O9="F34",U9/M9,O9="F234손절",U9/K9,O9="F2345손절",U9/K9,O9="F34손절",U9/L9,O9="F345손절",U9/L9)-1,"")</f>
        <v/>
      </c>
      <c r="Z9" s="48"/>
      <c r="AB9" s="48"/>
      <c r="AC9" s="34"/>
    </row>
    <row r="10" spans="1:29">
      <c r="A10" s="36" t="s">
        <v>32</v>
      </c>
      <c r="B10" s="5">
        <v>36400</v>
      </c>
      <c r="C10" s="5">
        <f t="shared" si="7"/>
        <v>14.245014245014245</v>
      </c>
      <c r="D10" s="5">
        <v>35100</v>
      </c>
      <c r="E10" s="64">
        <f t="shared" si="1"/>
        <v>-3.5714285714285698E-2</v>
      </c>
      <c r="F10" s="7">
        <v>30600</v>
      </c>
      <c r="G10" s="5">
        <v>42950</v>
      </c>
      <c r="H10" s="67">
        <v>45107</v>
      </c>
      <c r="I10" s="47" t="s">
        <v>26</v>
      </c>
      <c r="J10" s="4">
        <f t="shared" si="2"/>
        <v>0.40359477124182996</v>
      </c>
      <c r="K10" s="5">
        <f t="shared" si="6"/>
        <v>38405</v>
      </c>
      <c r="L10" s="63">
        <f t="shared" si="3"/>
        <v>36775</v>
      </c>
      <c r="M10" s="63">
        <f t="shared" si="4"/>
        <v>35145</v>
      </c>
      <c r="N10" s="5">
        <f t="shared" si="5"/>
        <v>33243</v>
      </c>
      <c r="O10" s="9"/>
      <c r="P10" s="68" t="s">
        <v>29</v>
      </c>
      <c r="Q10" s="69" t="s">
        <v>29</v>
      </c>
      <c r="R10" s="43"/>
      <c r="S10" s="66"/>
      <c r="T10" s="65"/>
      <c r="U10" s="5"/>
      <c r="V10" s="26" t="str" cm="1">
        <f t="array" ref="V10">IFERROR(_xlfn.IFS(O10="F2",U10/K10,O10="F23",U10/L10,O10="F234",U10/M10,O10="F3",U10/L10,O10="F34",U10/M10,O10="F234손절",U10/K10,O10="F2345손절",U10/K10,O10="F34손절",U10/L10,O10="F345손절",U10/L10)-1,"")</f>
        <v/>
      </c>
      <c r="Z10" s="48"/>
      <c r="AB10" s="48"/>
      <c r="AC10" s="34"/>
    </row>
    <row r="11" spans="1:29">
      <c r="A11" s="36" t="s">
        <v>33</v>
      </c>
      <c r="B11" s="5">
        <v>56000</v>
      </c>
      <c r="C11" s="5" t="str">
        <f t="shared" si="7"/>
        <v/>
      </c>
      <c r="D11" s="5"/>
      <c r="E11" s="64">
        <f t="shared" si="1"/>
        <v>-1</v>
      </c>
      <c r="F11" s="7"/>
      <c r="G11" s="5"/>
      <c r="H11" s="67"/>
      <c r="I11" s="47"/>
      <c r="J11" s="4" t="str">
        <f t="shared" si="2"/>
        <v/>
      </c>
      <c r="K11" s="5">
        <f t="shared" si="6"/>
        <v>0</v>
      </c>
      <c r="L11" s="5">
        <f t="shared" si="3"/>
        <v>0</v>
      </c>
      <c r="M11" s="5">
        <f t="shared" si="4"/>
        <v>0</v>
      </c>
      <c r="N11" s="5">
        <f t="shared" si="5"/>
        <v>0</v>
      </c>
      <c r="O11" s="9"/>
      <c r="P11" s="65"/>
      <c r="Q11" s="66"/>
      <c r="R11" s="43"/>
      <c r="S11" s="65"/>
      <c r="T11" s="65"/>
      <c r="U11" s="5"/>
      <c r="V11" s="26" t="str" cm="1">
        <f t="array" ref="V11">IFERROR(_xlfn.IFS(O11="F2",U11/K11,O11="F23",U11/L11,O11="F234",U11/M11,O11="F3",U11/L11,O11="F34",U11/M11,O11="F234손절",U11/K11,O11="F2345손절",U11/K11,O11="F34손절",U11/L11,O11="F345손절",U11/L11)-1,"")</f>
        <v/>
      </c>
      <c r="Z11" s="48"/>
      <c r="AB11" s="48"/>
      <c r="AC11" s="34"/>
    </row>
    <row r="12" spans="1:29">
      <c r="A12" s="36" t="s">
        <v>34</v>
      </c>
      <c r="B12" s="5">
        <v>16200</v>
      </c>
      <c r="C12" s="5">
        <f t="shared" si="7"/>
        <v>32.071840923669022</v>
      </c>
      <c r="D12" s="5">
        <v>15590</v>
      </c>
      <c r="E12" s="64">
        <f t="shared" si="1"/>
        <v>-3.7654320987654311E-2</v>
      </c>
      <c r="F12" s="7">
        <v>13380</v>
      </c>
      <c r="G12" s="5">
        <v>19410</v>
      </c>
      <c r="H12" s="67">
        <v>45106</v>
      </c>
      <c r="I12" s="47" t="s">
        <v>26</v>
      </c>
      <c r="J12" s="4">
        <f t="shared" si="2"/>
        <v>0.45067264573991039</v>
      </c>
      <c r="K12" s="5">
        <f t="shared" ref="K12:K18" si="8">IFERROR(ROUND($F12+($G12-$F12)*0.632,0),"")</f>
        <v>17191</v>
      </c>
      <c r="L12" s="63">
        <f t="shared" si="3"/>
        <v>16395</v>
      </c>
      <c r="M12" s="63">
        <f t="shared" si="4"/>
        <v>15599</v>
      </c>
      <c r="N12" s="5">
        <f t="shared" si="5"/>
        <v>14670</v>
      </c>
      <c r="O12" s="9"/>
      <c r="P12" s="68" t="s">
        <v>27</v>
      </c>
      <c r="Q12" s="69" t="s">
        <v>29</v>
      </c>
      <c r="R12" s="43"/>
      <c r="S12" s="66"/>
      <c r="T12" s="65"/>
      <c r="U12" s="5"/>
      <c r="V12" s="26" t="str" cm="1">
        <f t="array" ref="V12">IFERROR(_xlfn.IFS(O12="F2",U12/K12,O12="F23",U12/L12,O12="F234",U12/M12,O12="F3",U12/L12,O12="F34",U12/M12,O12="F234손절",U12/K12,O12="F2345손절",U12/K12,O12="F34손절",U12/L12,O12="F345손절",U12/L12)-1,"")</f>
        <v/>
      </c>
      <c r="Z12" s="48"/>
      <c r="AB12" s="48"/>
      <c r="AC12" s="34"/>
    </row>
    <row r="13" spans="1:29">
      <c r="A13" s="36" t="s">
        <v>35</v>
      </c>
      <c r="B13" s="5">
        <v>92200</v>
      </c>
      <c r="C13" s="5" t="str">
        <f t="shared" si="7"/>
        <v/>
      </c>
      <c r="D13" s="5"/>
      <c r="E13" s="64">
        <f t="shared" si="1"/>
        <v>-1</v>
      </c>
      <c r="F13" s="7"/>
      <c r="G13" s="5"/>
      <c r="H13" s="65"/>
      <c r="I13" s="9"/>
      <c r="J13" s="4" t="str">
        <f t="shared" si="2"/>
        <v/>
      </c>
      <c r="K13" s="5">
        <f t="shared" si="8"/>
        <v>0</v>
      </c>
      <c r="L13" s="5">
        <f t="shared" si="3"/>
        <v>0</v>
      </c>
      <c r="M13" s="5">
        <f t="shared" si="4"/>
        <v>0</v>
      </c>
      <c r="N13" s="5">
        <f t="shared" si="5"/>
        <v>0</v>
      </c>
      <c r="O13" s="9"/>
      <c r="P13" s="65"/>
      <c r="Q13" s="66"/>
      <c r="R13" s="43"/>
      <c r="S13" s="65"/>
      <c r="T13" s="65"/>
      <c r="U13" s="5"/>
      <c r="V13" s="26" t="str" cm="1">
        <f t="array" ref="V13">IFERROR(_xlfn.IFS(O13="F2",U13/K13,O13="F23",U13/L13,O13="F234",U13/M13,O13="F3",U13/L13,O13="F34",U13/M13,O13="F234손절",U13/K13,O13="F2345손절",U13/K13,O13="F34손절",U13/L13,O13="F345손절",U13/L13)-1,"")</f>
        <v/>
      </c>
      <c r="Z13" s="48"/>
      <c r="AB13" s="48"/>
      <c r="AC13" s="34"/>
    </row>
    <row r="14" spans="1:29">
      <c r="A14" s="36" t="s">
        <v>36</v>
      </c>
      <c r="B14" s="5">
        <v>22200</v>
      </c>
      <c r="C14" s="5">
        <f t="shared" si="7"/>
        <v>25.974025974025974</v>
      </c>
      <c r="D14" s="5">
        <v>19250</v>
      </c>
      <c r="E14" s="64">
        <f t="shared" si="1"/>
        <v>-0.13288288288288286</v>
      </c>
      <c r="F14" s="7">
        <v>15580</v>
      </c>
      <c r="G14" s="5">
        <v>22950</v>
      </c>
      <c r="H14" s="67">
        <v>45111</v>
      </c>
      <c r="I14" s="47" t="s">
        <v>26</v>
      </c>
      <c r="J14" s="4">
        <f t="shared" si="2"/>
        <v>0.47304236200256744</v>
      </c>
      <c r="K14" s="63">
        <f t="shared" si="8"/>
        <v>20238</v>
      </c>
      <c r="L14" s="63">
        <f t="shared" si="3"/>
        <v>19265</v>
      </c>
      <c r="M14" s="5">
        <f t="shared" si="4"/>
        <v>18292</v>
      </c>
      <c r="N14" s="5">
        <f t="shared" si="5"/>
        <v>17157</v>
      </c>
      <c r="O14" s="9"/>
      <c r="P14" s="65"/>
      <c r="Q14" s="66"/>
      <c r="R14" s="43"/>
      <c r="S14" s="65"/>
      <c r="T14" s="65"/>
      <c r="U14" s="5"/>
      <c r="V14" s="26" t="str" cm="1">
        <f t="array" ref="V14">IFERROR(_xlfn.IFS(O14="F2",U14/K14,O14="F23",U14/L14,O14="F234",U14/M14,O14="F3",U14/L14,O14="F34",U14/M14,O14="F234손절",U14/K14,O14="F2345손절",U14/K14,O14="F34손절",U14/L14,O14="F345손절",U14/L14)-1,"")</f>
        <v/>
      </c>
      <c r="Z14" s="48"/>
      <c r="AB14" s="48"/>
      <c r="AC14" s="34"/>
    </row>
    <row r="15" spans="1:29">
      <c r="A15" s="36" t="s">
        <v>37</v>
      </c>
      <c r="B15" s="5">
        <v>29400</v>
      </c>
      <c r="C15" s="5" t="str">
        <f t="shared" si="7"/>
        <v/>
      </c>
      <c r="D15" s="5"/>
      <c r="E15" s="64">
        <f t="shared" si="1"/>
        <v>-1</v>
      </c>
      <c r="F15" s="7"/>
      <c r="G15" s="5"/>
      <c r="H15" s="65"/>
      <c r="I15" s="9"/>
      <c r="J15" s="4" t="str">
        <f t="shared" si="2"/>
        <v/>
      </c>
      <c r="K15" s="5">
        <f t="shared" si="8"/>
        <v>0</v>
      </c>
      <c r="L15" s="5">
        <f t="shared" si="3"/>
        <v>0</v>
      </c>
      <c r="M15" s="5">
        <f t="shared" si="4"/>
        <v>0</v>
      </c>
      <c r="N15" s="5">
        <f t="shared" si="5"/>
        <v>0</v>
      </c>
      <c r="O15" s="9"/>
      <c r="P15" s="65"/>
      <c r="Q15" s="66"/>
      <c r="R15" s="43"/>
      <c r="S15" s="66"/>
      <c r="T15" s="65"/>
      <c r="U15" s="5"/>
      <c r="V15" s="26" t="str" cm="1">
        <f t="array" ref="V15">IFERROR(_xlfn.IFS(O15="F2",U15/K15,O15="F23",U15/L15,O15="F234",U15/M15,O15="F3",U15/L15,O15="F34",U15/M15,O15="F234손절",U15/K15,O15="F2345손절",U15/K15,O15="F34손절",U15/L15,O15="F345손절",U15/L15)-1,"")</f>
        <v/>
      </c>
      <c r="Z15" s="48"/>
      <c r="AB15" s="48"/>
      <c r="AC15" s="34"/>
    </row>
    <row r="16" spans="1:29">
      <c r="A16" s="36"/>
      <c r="B16" s="5"/>
      <c r="C16" s="5" t="str">
        <f t="shared" si="7"/>
        <v/>
      </c>
      <c r="D16" s="5"/>
      <c r="E16" s="64" t="str">
        <f t="shared" si="1"/>
        <v/>
      </c>
      <c r="F16" s="7"/>
      <c r="G16" s="5"/>
      <c r="H16" s="65"/>
      <c r="I16" s="9"/>
      <c r="J16" s="4" t="str">
        <f t="shared" si="2"/>
        <v/>
      </c>
      <c r="K16" s="5">
        <f t="shared" si="8"/>
        <v>0</v>
      </c>
      <c r="L16" s="5">
        <f t="shared" si="3"/>
        <v>0</v>
      </c>
      <c r="M16" s="5">
        <f t="shared" si="4"/>
        <v>0</v>
      </c>
      <c r="N16" s="5">
        <f t="shared" si="5"/>
        <v>0</v>
      </c>
      <c r="O16" s="9"/>
      <c r="P16" s="65"/>
      <c r="Q16" s="66"/>
      <c r="R16" s="43"/>
      <c r="S16" s="65"/>
      <c r="T16" s="65"/>
      <c r="U16" s="5"/>
      <c r="V16" s="26" t="str" cm="1">
        <f t="array" ref="V16">IFERROR(_xlfn.IFS(O16="F2",U16/K16,O16="F23",U16/L16,O16="F234",U16/M16,O16="F3",U16/L16,O16="F34",U16/M16,O16="F234손절",U16/K16,O16="F2345손절",U16/K16,O16="F34손절",U16/L16,O16="F345손절",U16/L16)-1,"")</f>
        <v/>
      </c>
    </row>
    <row r="17" spans="1:29">
      <c r="A17" s="36" t="s">
        <v>38</v>
      </c>
      <c r="B17" s="5">
        <v>183100</v>
      </c>
      <c r="C17" s="5" t="str">
        <f t="shared" si="7"/>
        <v/>
      </c>
      <c r="D17" s="5"/>
      <c r="E17" s="64">
        <f t="shared" si="1"/>
        <v>-1</v>
      </c>
      <c r="F17" s="7"/>
      <c r="G17" s="5"/>
      <c r="H17" s="65"/>
      <c r="I17" s="9"/>
      <c r="J17" s="4" t="str">
        <f t="shared" si="2"/>
        <v/>
      </c>
      <c r="K17" s="5">
        <f t="shared" si="8"/>
        <v>0</v>
      </c>
      <c r="L17" s="5">
        <f t="shared" si="3"/>
        <v>0</v>
      </c>
      <c r="M17" s="5">
        <f t="shared" si="4"/>
        <v>0</v>
      </c>
      <c r="N17" s="5">
        <f t="shared" si="5"/>
        <v>0</v>
      </c>
      <c r="O17" s="9"/>
      <c r="P17" s="65"/>
      <c r="Q17" s="66"/>
      <c r="R17" s="43"/>
      <c r="S17" s="65"/>
      <c r="T17" s="65"/>
      <c r="U17" s="5"/>
      <c r="V17" s="26" t="str" cm="1">
        <f t="array" ref="V17">IFERROR(_xlfn.IFS(O17="F2",U17/K17,O17="F23",U17/L17,O17="F234",U17/M17,O17="F3",U17/L17,O17="F34",U17/M17,O17="F234손절",U17/K17,O17="F2345손절",U17/K17,O17="F34손절",U17/L17,O17="F345손절",U17/L17)-1,"")</f>
        <v/>
      </c>
      <c r="Z17" s="48"/>
      <c r="AB17" s="48"/>
      <c r="AC17" s="34"/>
    </row>
    <row r="18" spans="1:29">
      <c r="A18" s="36" t="s">
        <v>39</v>
      </c>
      <c r="B18" s="5">
        <v>31700</v>
      </c>
      <c r="C18" s="5" t="str">
        <f t="shared" si="7"/>
        <v/>
      </c>
      <c r="D18" s="5"/>
      <c r="E18" s="64">
        <f t="shared" si="1"/>
        <v>-1</v>
      </c>
      <c r="F18" s="7"/>
      <c r="G18" s="5"/>
      <c r="H18" s="65"/>
      <c r="I18" s="9"/>
      <c r="J18" s="4" t="str">
        <f t="shared" si="2"/>
        <v/>
      </c>
      <c r="K18" s="5">
        <f t="shared" si="8"/>
        <v>0</v>
      </c>
      <c r="L18" s="5">
        <f t="shared" si="3"/>
        <v>0</v>
      </c>
      <c r="M18" s="5">
        <f t="shared" si="4"/>
        <v>0</v>
      </c>
      <c r="N18" s="5">
        <f t="shared" si="5"/>
        <v>0</v>
      </c>
      <c r="O18" s="9"/>
      <c r="P18" s="65"/>
      <c r="Q18" s="66"/>
      <c r="R18" s="43"/>
      <c r="S18" s="66"/>
      <c r="T18" s="65"/>
      <c r="U18" s="5"/>
      <c r="V18" s="26" t="str" cm="1">
        <f t="array" ref="V18">IFERROR(_xlfn.IFS(O18="F2",U18/K18,O18="F23",U18/L18,O18="F234",U18/M18,O18="F3",U18/L18,O18="F34",U18/M18,O18="F234손절",U18/K18,O18="F2345손절",U18/K18,O18="F34손절",U18/L18,O18="F345손절",U18/L18)-1,"")</f>
        <v/>
      </c>
      <c r="Z18" s="48"/>
      <c r="AB18" s="48"/>
      <c r="AC18" s="34"/>
    </row>
    <row r="19" spans="1:29">
      <c r="A19" s="36" t="s">
        <v>40</v>
      </c>
      <c r="B19" s="5">
        <v>3335</v>
      </c>
      <c r="C19" s="5" t="str">
        <f t="shared" si="7"/>
        <v/>
      </c>
      <c r="D19" s="5"/>
      <c r="E19" s="64">
        <f t="shared" si="1"/>
        <v>-1</v>
      </c>
      <c r="F19" s="7"/>
      <c r="G19" s="5"/>
      <c r="H19" s="65"/>
      <c r="I19" s="9"/>
      <c r="J19" s="4" t="str">
        <f t="shared" si="2"/>
        <v/>
      </c>
      <c r="K19" s="5">
        <f xml:space="preserve"> COUNTIFS('F series'!T28:T56,#REF!, 'F series'!O28:O56,#REF!)</f>
        <v>0</v>
      </c>
      <c r="L19" s="5">
        <f t="shared" si="3"/>
        <v>0</v>
      </c>
      <c r="M19" s="5">
        <f t="shared" si="4"/>
        <v>0</v>
      </c>
      <c r="N19" s="5">
        <f t="shared" si="5"/>
        <v>0</v>
      </c>
      <c r="O19" s="9"/>
      <c r="P19" s="65"/>
      <c r="Q19" s="66"/>
      <c r="R19" s="43"/>
      <c r="S19" s="65"/>
      <c r="T19" s="65"/>
      <c r="U19" s="5"/>
      <c r="V19" s="26" t="str" cm="1">
        <f t="array" ref="V19">IFERROR(_xlfn.IFS(O19="F2",U19/K19,O19="F23",U19/L19,O19="F234",U19/M19,O19="F3",U19/L19,O19="F34",U19/M19,O19="F234손절",U19/K19,O19="F2345손절",U19/K19,O19="F34손절",U19/L19,O19="F345손절",U19/L19)-1,"")</f>
        <v/>
      </c>
      <c r="Z19" s="48"/>
      <c r="AB19" s="48"/>
      <c r="AC19" s="34"/>
    </row>
    <row r="20" spans="1:29">
      <c r="A20" s="36" t="s">
        <v>41</v>
      </c>
      <c r="B20" s="5">
        <v>3500</v>
      </c>
      <c r="C20" s="5" t="str">
        <f t="shared" si="7"/>
        <v/>
      </c>
      <c r="D20" s="5"/>
      <c r="E20" s="64">
        <f t="shared" si="1"/>
        <v>-1</v>
      </c>
      <c r="F20" s="7"/>
      <c r="G20" s="5"/>
      <c r="H20" s="65"/>
      <c r="I20" s="9"/>
      <c r="J20" s="4" t="str">
        <f t="shared" si="2"/>
        <v/>
      </c>
      <c r="K20" s="5">
        <f t="shared" ref="K20:K26" si="9">IFERROR(ROUND($F20+($G20-$F20)*0.632,0),"")</f>
        <v>0</v>
      </c>
      <c r="L20" s="5">
        <f t="shared" si="3"/>
        <v>0</v>
      </c>
      <c r="M20" s="5">
        <f t="shared" si="4"/>
        <v>0</v>
      </c>
      <c r="N20" s="5">
        <f t="shared" si="5"/>
        <v>0</v>
      </c>
      <c r="O20" s="9"/>
      <c r="P20" s="65"/>
      <c r="Q20" s="66"/>
      <c r="R20" s="43"/>
      <c r="S20" s="66"/>
      <c r="T20" s="65"/>
      <c r="U20" s="5"/>
      <c r="V20" s="26" t="str" cm="1">
        <f t="array" ref="V20">IFERROR(_xlfn.IFS(O20="F2",U20/K20,O20="F23",U20/L20,O20="F234",U20/M20,O20="F3",U20/L20,O20="F34",U20/M20,O20="F234손절",U20/K20,O20="F2345손절",U20/K20,O20="F34손절",U20/L20,O20="F345손절",U20/L20)-1,"")</f>
        <v/>
      </c>
      <c r="Z20" s="48"/>
      <c r="AB20" s="48"/>
      <c r="AC20" s="34"/>
    </row>
    <row r="21" spans="1:29">
      <c r="A21" s="36"/>
      <c r="B21" s="5"/>
      <c r="C21" s="5" t="str">
        <f t="shared" si="7"/>
        <v/>
      </c>
      <c r="D21" s="5"/>
      <c r="E21" s="64" t="str">
        <f t="shared" si="1"/>
        <v/>
      </c>
      <c r="F21" s="7"/>
      <c r="G21" s="5"/>
      <c r="H21" s="65"/>
      <c r="I21" s="9"/>
      <c r="J21" s="4" t="str">
        <f t="shared" si="2"/>
        <v/>
      </c>
      <c r="K21" s="5">
        <f t="shared" si="9"/>
        <v>0</v>
      </c>
      <c r="L21" s="5">
        <f t="shared" si="3"/>
        <v>0</v>
      </c>
      <c r="M21" s="5">
        <f t="shared" si="4"/>
        <v>0</v>
      </c>
      <c r="N21" s="5">
        <f t="shared" si="5"/>
        <v>0</v>
      </c>
      <c r="O21" s="9"/>
      <c r="P21" s="65"/>
      <c r="Q21" s="66"/>
      <c r="R21" s="43"/>
      <c r="S21" s="65"/>
      <c r="T21" s="65"/>
      <c r="U21" s="5"/>
      <c r="V21" s="26" t="str" cm="1">
        <f t="array" ref="V21">IFERROR(_xlfn.IFS(O21="F2",U21/K21,O21="F23",U21/L21,O21="F234",U21/M21,O21="F3",U21/L21,O21="F34",U21/M21,O21="F234손절",U21/K21,O21="F2345손절",U21/K21,O21="F34손절",U21/L21,O21="F345손절",U21/L21)-1,"")</f>
        <v/>
      </c>
    </row>
    <row r="22" spans="1:29">
      <c r="A22" s="36" t="s">
        <v>42</v>
      </c>
      <c r="B22" s="5">
        <v>18800</v>
      </c>
      <c r="C22" s="5" t="str">
        <f t="shared" si="7"/>
        <v/>
      </c>
      <c r="D22" s="5"/>
      <c r="E22" s="64">
        <f t="shared" si="1"/>
        <v>-1</v>
      </c>
      <c r="F22" s="7"/>
      <c r="G22" s="5"/>
      <c r="H22" s="65"/>
      <c r="I22" s="9"/>
      <c r="J22" s="4" t="str">
        <f t="shared" si="2"/>
        <v/>
      </c>
      <c r="K22" s="5">
        <f t="shared" si="9"/>
        <v>0</v>
      </c>
      <c r="L22" s="5">
        <f t="shared" si="3"/>
        <v>0</v>
      </c>
      <c r="M22" s="5">
        <f t="shared" si="4"/>
        <v>0</v>
      </c>
      <c r="N22" s="5">
        <f t="shared" si="5"/>
        <v>0</v>
      </c>
      <c r="O22" s="9"/>
      <c r="P22" s="65"/>
      <c r="Q22" s="66"/>
      <c r="R22" s="43"/>
      <c r="S22" s="65"/>
      <c r="T22" s="65"/>
      <c r="U22" s="5"/>
      <c r="V22" s="26" t="str" cm="1">
        <f t="array" ref="V22">IFERROR(_xlfn.IFS(O22="F2",U22/K22,O22="F23",U22/L22,O22="F234",U22/M22,O22="F3",U22/L22,O22="F34",U22/M22,O22="F234손절",U22/K22,O22="F2345손절",U22/K22,O22="F34손절",U22/L22,O22="F345손절",U22/L22)-1,"")</f>
        <v/>
      </c>
      <c r="Z22" s="48"/>
      <c r="AB22" s="48"/>
      <c r="AC22" s="34"/>
    </row>
    <row r="23" spans="1:29">
      <c r="A23" s="36" t="s">
        <v>43</v>
      </c>
      <c r="B23" s="5">
        <v>35700</v>
      </c>
      <c r="C23" s="5" t="str">
        <f t="shared" si="7"/>
        <v/>
      </c>
      <c r="D23" s="5"/>
      <c r="E23" s="64">
        <f t="shared" si="1"/>
        <v>-1</v>
      </c>
      <c r="F23" s="7"/>
      <c r="G23" s="5"/>
      <c r="H23" s="65"/>
      <c r="I23" s="9"/>
      <c r="J23" s="4" t="str">
        <f t="shared" si="2"/>
        <v/>
      </c>
      <c r="K23" s="5">
        <f t="shared" si="9"/>
        <v>0</v>
      </c>
      <c r="L23" s="5">
        <f t="shared" si="3"/>
        <v>0</v>
      </c>
      <c r="M23" s="5">
        <f t="shared" si="4"/>
        <v>0</v>
      </c>
      <c r="N23" s="5">
        <f t="shared" si="5"/>
        <v>0</v>
      </c>
      <c r="O23" s="9"/>
      <c r="P23" s="65"/>
      <c r="Q23" s="66"/>
      <c r="R23" s="43"/>
      <c r="S23" s="66"/>
      <c r="T23" s="65"/>
      <c r="U23" s="5"/>
      <c r="V23" s="26" t="str" cm="1">
        <f t="array" ref="V23">IFERROR(_xlfn.IFS(O23="F2",U23/K23,O23="F23",U23/L23,O23="F234",U23/M23,O23="F3",U23/L23,O23="F34",U23/M23,O23="F234손절",U23/K23,O23="F2345손절",U23/K23,O23="F34손절",U23/L23,O23="F345손절",U23/L23)-1,"")</f>
        <v/>
      </c>
      <c r="Z23" s="48"/>
      <c r="AB23" s="48"/>
      <c r="AC23" s="34"/>
    </row>
    <row r="24" spans="1:29">
      <c r="A24" s="36"/>
      <c r="B24" s="5"/>
      <c r="C24" s="5" t="str">
        <f t="shared" si="7"/>
        <v/>
      </c>
      <c r="D24" s="5"/>
      <c r="E24" s="64" t="str">
        <f t="shared" si="1"/>
        <v/>
      </c>
      <c r="F24" s="7"/>
      <c r="G24" s="5"/>
      <c r="H24" s="65"/>
      <c r="I24" s="9"/>
      <c r="J24" s="4" t="str">
        <f t="shared" si="2"/>
        <v/>
      </c>
      <c r="K24" s="5">
        <f t="shared" si="9"/>
        <v>0</v>
      </c>
      <c r="L24" s="5">
        <f t="shared" si="3"/>
        <v>0</v>
      </c>
      <c r="M24" s="5">
        <f t="shared" si="4"/>
        <v>0</v>
      </c>
      <c r="N24" s="5">
        <f t="shared" si="5"/>
        <v>0</v>
      </c>
      <c r="O24" s="9"/>
      <c r="P24" s="65"/>
      <c r="Q24" s="66"/>
      <c r="R24" s="43"/>
      <c r="S24" s="65"/>
      <c r="T24" s="65"/>
      <c r="U24" s="5"/>
      <c r="V24" s="26" t="str" cm="1">
        <f t="array" ref="V24">IFERROR(_xlfn.IFS(O24="F2",U24/K24,O24="F23",U24/L24,O24="F234",U24/M24,O24="F3",U24/L24,O24="F34",U24/M24,O24="F234손절",U24/K24,O24="F2345손절",U24/K24,O24="F34손절",U24/L24,O24="F345손절",U24/L24)-1,"")</f>
        <v/>
      </c>
    </row>
    <row r="25" spans="1:29">
      <c r="A25" s="36" t="s">
        <v>44</v>
      </c>
      <c r="B25" s="5">
        <v>2600</v>
      </c>
      <c r="C25" s="5">
        <f t="shared" si="7"/>
        <v>206.18556701030928</v>
      </c>
      <c r="D25" s="5">
        <v>2425</v>
      </c>
      <c r="E25" s="64">
        <f t="shared" si="1"/>
        <v>-6.7307692307692291E-2</v>
      </c>
      <c r="F25" s="7">
        <v>2070</v>
      </c>
      <c r="G25" s="5">
        <v>3035</v>
      </c>
      <c r="H25" s="67">
        <v>45104</v>
      </c>
      <c r="I25" s="47" t="s">
        <v>45</v>
      </c>
      <c r="J25" s="4">
        <f t="shared" si="2"/>
        <v>0.46618357487922713</v>
      </c>
      <c r="K25" s="5">
        <f t="shared" si="9"/>
        <v>2680</v>
      </c>
      <c r="L25" s="63">
        <f t="shared" si="3"/>
        <v>2553</v>
      </c>
      <c r="M25" s="63">
        <f t="shared" si="4"/>
        <v>2425</v>
      </c>
      <c r="N25" s="5">
        <f t="shared" si="5"/>
        <v>2277</v>
      </c>
      <c r="O25" s="9"/>
      <c r="P25" s="68" t="s">
        <v>27</v>
      </c>
      <c r="Q25" s="69" t="s">
        <v>29</v>
      </c>
      <c r="R25" s="43"/>
      <c r="S25" s="65"/>
      <c r="T25" s="65"/>
      <c r="U25" s="5"/>
      <c r="V25" s="26" t="str" cm="1">
        <f t="array" ref="V25">IFERROR(_xlfn.IFS(O25="F2",U25/K25,O25="F23",U25/L25,O25="F234",U25/M25,O25="F3",U25/L25,O25="F34",U25/M25,O25="F234손절",U25/K25,O25="F2345손절",U25/K25,O25="F34손절",U25/L25,O25="F345손절",U25/L25)-1,"")</f>
        <v/>
      </c>
      <c r="Z25" s="48"/>
      <c r="AB25" s="48"/>
      <c r="AC25" s="34"/>
    </row>
    <row r="26" spans="1:29">
      <c r="A26" s="36" t="s">
        <v>46</v>
      </c>
      <c r="B26" s="5">
        <v>11880</v>
      </c>
      <c r="C26" s="5">
        <f t="shared" si="7"/>
        <v>44.404973357015983</v>
      </c>
      <c r="D26" s="5">
        <v>11260</v>
      </c>
      <c r="E26" s="64">
        <f t="shared" si="1"/>
        <v>-5.2188552188552229E-2</v>
      </c>
      <c r="F26" s="7">
        <v>9990</v>
      </c>
      <c r="G26" s="5">
        <v>13460</v>
      </c>
      <c r="H26" s="67">
        <v>45105</v>
      </c>
      <c r="I26" s="47" t="s">
        <v>26</v>
      </c>
      <c r="J26" s="4">
        <f t="shared" si="2"/>
        <v>0.3473473473473474</v>
      </c>
      <c r="K26" s="5">
        <f t="shared" si="9"/>
        <v>12183</v>
      </c>
      <c r="L26" s="63">
        <f t="shared" si="3"/>
        <v>11725</v>
      </c>
      <c r="M26" s="63">
        <f t="shared" si="4"/>
        <v>11267</v>
      </c>
      <c r="N26" s="5">
        <f t="shared" si="5"/>
        <v>10733</v>
      </c>
      <c r="O26" s="9"/>
      <c r="P26" s="68" t="s">
        <v>27</v>
      </c>
      <c r="Q26" s="69" t="s">
        <v>29</v>
      </c>
      <c r="R26" s="43"/>
      <c r="S26" s="66"/>
      <c r="T26" s="65"/>
      <c r="U26" s="5"/>
      <c r="V26" s="26" t="str" cm="1">
        <f t="array" ref="V26">IFERROR(_xlfn.IFS(O26="F2",U26/K26,O26="F23",U26/L26,O26="F234",U26/M26,O26="F3",U26/L26,O26="F34",U26/M26,O26="F234손절",U26/K26,O26="F2345손절",U26/K26,O26="F34손절",U26/L26,O26="F345손절",U26/L26)-1,"")</f>
        <v/>
      </c>
      <c r="Z26" s="48"/>
      <c r="AB26" s="48"/>
      <c r="AC26" s="34"/>
    </row>
    <row r="27" spans="1:29">
      <c r="A27" s="36"/>
      <c r="B27" s="5"/>
      <c r="C27" s="5" t="str">
        <f t="shared" si="7"/>
        <v/>
      </c>
      <c r="D27" s="5"/>
      <c r="E27" s="64" t="str">
        <f t="shared" si="1"/>
        <v/>
      </c>
      <c r="F27" s="7"/>
      <c r="G27" s="5"/>
      <c r="H27" s="65"/>
      <c r="I27" s="9"/>
      <c r="J27" s="4" t="str">
        <f t="shared" si="2"/>
        <v/>
      </c>
      <c r="K27" s="5">
        <f xml:space="preserve"> COUNTIFS('F series'!T36:T64,#REF!, 'F series'!O36:O64,#REF!)</f>
        <v>0</v>
      </c>
      <c r="L27" s="5">
        <f t="shared" si="3"/>
        <v>0</v>
      </c>
      <c r="M27" s="5">
        <f t="shared" si="4"/>
        <v>0</v>
      </c>
      <c r="N27" s="5">
        <f t="shared" si="5"/>
        <v>0</v>
      </c>
      <c r="O27" s="9"/>
      <c r="P27" s="65"/>
      <c r="Q27" s="66"/>
      <c r="R27" s="43"/>
      <c r="S27" s="65"/>
      <c r="T27" s="65"/>
      <c r="U27" s="5"/>
      <c r="V27" s="26" t="str" cm="1">
        <f t="array" ref="V27">IFERROR(_xlfn.IFS(O27="F2",U27/K27,O27="F23",U27/L27,O27="F234",U27/M27,O27="F3",U27/L27,O27="F34",U27/M27,O27="F234손절",U27/K27,O27="F2345손절",U27/K27,O27="F34손절",U27/L27,O27="F345손절",U27/L27)-1,"")</f>
        <v/>
      </c>
    </row>
    <row r="28" spans="1:29">
      <c r="A28" s="36" t="s">
        <v>47</v>
      </c>
      <c r="B28" s="5">
        <v>15470</v>
      </c>
      <c r="C28" s="5" t="str">
        <f t="shared" si="7"/>
        <v/>
      </c>
      <c r="D28" s="5"/>
      <c r="E28" s="64">
        <f t="shared" si="1"/>
        <v>-1</v>
      </c>
      <c r="F28" s="7"/>
      <c r="G28" s="5"/>
      <c r="H28" s="67"/>
      <c r="I28" s="47"/>
      <c r="J28" s="4" t="str">
        <f t="shared" si="2"/>
        <v/>
      </c>
      <c r="K28" s="5">
        <f t="shared" ref="K28:K33" si="10">IFERROR(ROUND($F28+($G28-$F28)*0.632,0),"")</f>
        <v>0</v>
      </c>
      <c r="L28" s="5">
        <f t="shared" si="3"/>
        <v>0</v>
      </c>
      <c r="M28" s="5">
        <f t="shared" si="4"/>
        <v>0</v>
      </c>
      <c r="N28" s="5">
        <f t="shared" si="5"/>
        <v>0</v>
      </c>
      <c r="O28" s="9"/>
      <c r="P28" s="65"/>
      <c r="Q28" s="66"/>
      <c r="R28" s="43"/>
      <c r="S28" s="66"/>
      <c r="T28" s="65"/>
      <c r="U28" s="5"/>
      <c r="V28" s="26" t="str" cm="1">
        <f t="array" ref="V28">IFERROR(_xlfn.IFS(O28="F2",U28/K28,O28="F23",U28/L28,O28="F234",U28/M28,O28="F3",U28/L28,O28="F34",U28/M28,O28="F234손절",U28/K28,O28="F2345손절",U28/K28,O28="F34손절",U28/L28,O28="F345손절",U28/L28)-1,"")</f>
        <v/>
      </c>
      <c r="Z28" s="48"/>
      <c r="AB28" s="48"/>
      <c r="AC28" s="34"/>
    </row>
    <row r="29" spans="1:29">
      <c r="A29" s="36" t="s">
        <v>48</v>
      </c>
      <c r="B29" s="5">
        <v>27500</v>
      </c>
      <c r="C29" s="5">
        <f t="shared" si="7"/>
        <v>19.53125</v>
      </c>
      <c r="D29" s="5">
        <v>25600</v>
      </c>
      <c r="E29" s="64">
        <f t="shared" si="1"/>
        <v>-6.9090909090909092E-2</v>
      </c>
      <c r="F29" s="7">
        <v>20350</v>
      </c>
      <c r="G29" s="5">
        <v>30900</v>
      </c>
      <c r="H29" s="67">
        <v>45112</v>
      </c>
      <c r="I29" s="47" t="s">
        <v>27</v>
      </c>
      <c r="J29" s="4">
        <f t="shared" si="2"/>
        <v>0.51842751842751844</v>
      </c>
      <c r="K29" s="63">
        <f t="shared" si="10"/>
        <v>27018</v>
      </c>
      <c r="L29" s="63">
        <f t="shared" si="3"/>
        <v>25625</v>
      </c>
      <c r="M29" s="5">
        <f t="shared" si="4"/>
        <v>24232</v>
      </c>
      <c r="N29" s="5">
        <f t="shared" si="5"/>
        <v>22608</v>
      </c>
      <c r="O29" s="9"/>
      <c r="P29" s="68" t="s">
        <v>49</v>
      </c>
      <c r="Q29" s="66"/>
      <c r="R29" s="43"/>
      <c r="S29" s="65"/>
      <c r="T29" s="65"/>
      <c r="U29" s="5"/>
      <c r="V29" s="26" t="str" cm="1">
        <f t="array" ref="V29">IFERROR(_xlfn.IFS(O29="F2",U29/K29,O29="F23",U29/L29,O29="F234",U29/M29,O29="F3",U29/L29,O29="F34",U29/M29,O29="F234손절",U29/K29,O29="F2345손절",U29/K29,O29="F34손절",U29/L29,O29="F345손절",U29/L29)-1,"")</f>
        <v/>
      </c>
      <c r="Z29" s="48"/>
      <c r="AB29" s="48"/>
      <c r="AC29" s="34"/>
    </row>
    <row r="30" spans="1:29">
      <c r="A30" s="36" t="s">
        <v>50</v>
      </c>
      <c r="B30" s="5">
        <v>13240</v>
      </c>
      <c r="C30" s="5" t="str">
        <f t="shared" si="7"/>
        <v/>
      </c>
      <c r="D30" s="5"/>
      <c r="E30" s="64">
        <f t="shared" si="1"/>
        <v>-1</v>
      </c>
      <c r="F30" s="7">
        <v>8790</v>
      </c>
      <c r="G30" s="5">
        <v>13890</v>
      </c>
      <c r="H30" s="67">
        <v>45106</v>
      </c>
      <c r="I30" s="47" t="s">
        <v>31</v>
      </c>
      <c r="J30" s="4">
        <f t="shared" si="2"/>
        <v>0.58020477815699656</v>
      </c>
      <c r="K30" s="5">
        <f t="shared" si="10"/>
        <v>12013</v>
      </c>
      <c r="L30" s="5">
        <f t="shared" si="3"/>
        <v>11340</v>
      </c>
      <c r="M30" s="5">
        <f t="shared" si="4"/>
        <v>10667</v>
      </c>
      <c r="N30" s="5">
        <f t="shared" si="5"/>
        <v>9881</v>
      </c>
      <c r="O30" s="9"/>
      <c r="P30" s="65"/>
      <c r="Q30" s="66"/>
      <c r="R30" s="43"/>
      <c r="S30" s="65"/>
      <c r="T30" s="65"/>
      <c r="U30" s="5"/>
      <c r="V30" s="26" t="str" cm="1">
        <f t="array" ref="V30">IFERROR(_xlfn.IFS(O30="F2",U30/K30,O30="F23",U30/L30,O30="F234",U30/M30,O30="F3",U30/L30,O30="F34",U30/M30,O30="F234손절",U30/K30,O30="F2345손절",U30/K30,O30="F34손절",U30/L30,O30="F345손절",U30/L30)-1,"")</f>
        <v/>
      </c>
      <c r="Z30" s="48"/>
      <c r="AB30" s="48"/>
      <c r="AC30" s="34"/>
    </row>
    <row r="31" spans="1:29">
      <c r="A31" s="36" t="s">
        <v>51</v>
      </c>
      <c r="B31" s="5">
        <v>13640</v>
      </c>
      <c r="C31" s="5" t="str">
        <f t="shared" si="7"/>
        <v/>
      </c>
      <c r="D31" s="5"/>
      <c r="E31" s="64">
        <f t="shared" si="1"/>
        <v>-1</v>
      </c>
      <c r="F31" s="7"/>
      <c r="G31" s="5"/>
      <c r="H31" s="65"/>
      <c r="I31" s="9"/>
      <c r="J31" s="4" t="str">
        <f t="shared" si="2"/>
        <v/>
      </c>
      <c r="K31" s="5">
        <f t="shared" si="10"/>
        <v>0</v>
      </c>
      <c r="L31" s="5">
        <f t="shared" si="3"/>
        <v>0</v>
      </c>
      <c r="M31" s="5">
        <f t="shared" si="4"/>
        <v>0</v>
      </c>
      <c r="N31" s="5">
        <f t="shared" si="5"/>
        <v>0</v>
      </c>
      <c r="O31" s="9"/>
      <c r="P31" s="65"/>
      <c r="Q31" s="66"/>
      <c r="R31" s="43"/>
      <c r="S31" s="66"/>
      <c r="T31" s="65"/>
      <c r="U31" s="5"/>
      <c r="V31" s="26" t="str" cm="1">
        <f t="array" ref="V31">IFERROR(_xlfn.IFS(O31="F2",U31/K31,O31="F23",U31/L31,O31="F234",U31/M31,O31="F3",U31/L31,O31="F34",U31/M31,O31="F234손절",U31/K31,O31="F2345손절",U31/K31,O31="F34손절",U31/L31,O31="F345손절",U31/L31)-1,"")</f>
        <v/>
      </c>
      <c r="Z31" s="48"/>
      <c r="AB31" s="48"/>
      <c r="AC31" s="34"/>
    </row>
    <row r="32" spans="1:29">
      <c r="A32" s="36" t="s">
        <v>52</v>
      </c>
      <c r="B32" s="5">
        <v>5200</v>
      </c>
      <c r="C32" s="5">
        <f t="shared" si="7"/>
        <v>101.6260162601626</v>
      </c>
      <c r="D32" s="5">
        <v>4920</v>
      </c>
      <c r="E32" s="64">
        <f t="shared" si="1"/>
        <v>-5.3846153846153877E-2</v>
      </c>
      <c r="F32" s="7">
        <v>4090</v>
      </c>
      <c r="G32" s="5">
        <v>6350</v>
      </c>
      <c r="H32" s="67">
        <v>45107</v>
      </c>
      <c r="I32" s="47" t="s">
        <v>31</v>
      </c>
      <c r="J32" s="4">
        <f t="shared" si="2"/>
        <v>0.55256723716381417</v>
      </c>
      <c r="K32" s="5">
        <f t="shared" si="10"/>
        <v>5518</v>
      </c>
      <c r="L32" s="63">
        <f t="shared" si="3"/>
        <v>5220</v>
      </c>
      <c r="M32" s="63">
        <f t="shared" si="4"/>
        <v>4922</v>
      </c>
      <c r="N32" s="5">
        <f t="shared" si="5"/>
        <v>4574</v>
      </c>
      <c r="O32" s="9"/>
      <c r="P32" s="68" t="s">
        <v>49</v>
      </c>
      <c r="Q32" s="69" t="s">
        <v>49</v>
      </c>
      <c r="R32" s="43"/>
      <c r="S32" s="65"/>
      <c r="T32" s="65"/>
      <c r="U32" s="5"/>
      <c r="V32" s="26" t="str" cm="1">
        <f t="array" ref="V32">IFERROR(_xlfn.IFS(O32="F2",U32/K32,O32="F23",U32/L32,O32="F234",U32/M32,O32="F3",U32/L32,O32="F34",U32/M32,O32="F234손절",U32/K32,O32="F2345손절",U32/K32,O32="F34손절",U32/L32,O32="F345손절",U32/L32)-1,"")</f>
        <v/>
      </c>
      <c r="Z32" s="48"/>
      <c r="AB32" s="48"/>
      <c r="AC32" s="34"/>
    </row>
    <row r="33" spans="1:29">
      <c r="A33" s="36" t="s">
        <v>53</v>
      </c>
      <c r="B33" s="5">
        <v>2220</v>
      </c>
      <c r="C33" s="5" t="str">
        <f t="shared" si="7"/>
        <v/>
      </c>
      <c r="D33" s="5"/>
      <c r="E33" s="64">
        <f t="shared" si="1"/>
        <v>-1</v>
      </c>
      <c r="F33" s="7"/>
      <c r="G33" s="5"/>
      <c r="H33" s="65"/>
      <c r="I33" s="9"/>
      <c r="J33" s="4" t="str">
        <f t="shared" si="2"/>
        <v/>
      </c>
      <c r="K33" s="5">
        <f t="shared" si="10"/>
        <v>0</v>
      </c>
      <c r="L33" s="5">
        <f t="shared" si="3"/>
        <v>0</v>
      </c>
      <c r="M33" s="5">
        <f t="shared" si="4"/>
        <v>0</v>
      </c>
      <c r="N33" s="5">
        <f t="shared" si="5"/>
        <v>0</v>
      </c>
      <c r="O33" s="9"/>
      <c r="P33" s="65"/>
      <c r="Q33" s="66"/>
      <c r="R33" s="43"/>
      <c r="S33" s="65"/>
      <c r="T33" s="65"/>
      <c r="U33" s="5"/>
      <c r="V33" s="26" t="str" cm="1">
        <f t="array" ref="V33">IFERROR(_xlfn.IFS(O33="F2",U33/K33,O33="F23",U33/L33,O33="F234",U33/M33,O33="F3",U33/L33,O33="F34",U33/M33,O33="F234손절",U33/K33,O33="F2345손절",U33/K33,O33="F34손절",U33/L33,O33="F345손절",U33/L33)-1,"")</f>
        <v/>
      </c>
      <c r="Z33" s="48"/>
      <c r="AB33" s="48"/>
      <c r="AC33" s="34"/>
    </row>
    <row r="34" spans="1:29">
      <c r="A34" s="36"/>
      <c r="B34" s="5"/>
      <c r="C34" s="5" t="str">
        <f t="shared" si="7"/>
        <v/>
      </c>
      <c r="D34" s="5"/>
      <c r="E34" s="64" t="str">
        <f t="shared" si="1"/>
        <v/>
      </c>
      <c r="F34" s="7"/>
      <c r="G34" s="5"/>
      <c r="H34" s="65"/>
      <c r="I34" s="9"/>
      <c r="J34" s="4" t="str">
        <f t="shared" si="2"/>
        <v/>
      </c>
      <c r="K34" s="5">
        <f xml:space="preserve"> COUNTIFS('F series'!T43:T71,#REF!, 'F series'!O43:O71,#REF!)</f>
        <v>0</v>
      </c>
      <c r="L34" s="5">
        <f t="shared" si="3"/>
        <v>0</v>
      </c>
      <c r="M34" s="5">
        <f t="shared" si="4"/>
        <v>0</v>
      </c>
      <c r="N34" s="5">
        <f t="shared" si="5"/>
        <v>0</v>
      </c>
      <c r="O34" s="9"/>
      <c r="P34" s="65"/>
      <c r="Q34" s="66"/>
      <c r="R34" s="43"/>
      <c r="S34" s="65"/>
      <c r="T34" s="65"/>
      <c r="U34" s="5"/>
      <c r="V34" s="26" t="str" cm="1">
        <f t="array" ref="V34">IFERROR(_xlfn.IFS(O34="F2",U34/K34,O34="F23",U34/L34,O34="F234",U34/M34,O34="F3",U34/L34,O34="F34",U34/M34,O34="F234손절",U34/K34,O34="F2345손절",U34/K34,O34="F34손절",U34/L34,O34="F345손절",U34/L34)-1,"")</f>
        <v/>
      </c>
    </row>
    <row r="35" spans="1:29">
      <c r="A35" s="36" t="s">
        <v>54</v>
      </c>
      <c r="B35" s="5">
        <v>83000</v>
      </c>
      <c r="C35" s="5">
        <f t="shared" si="7"/>
        <v>6.5616797900262469</v>
      </c>
      <c r="D35" s="5">
        <v>76200</v>
      </c>
      <c r="E35" s="64">
        <f t="shared" si="1"/>
        <v>-8.1927710843373469E-2</v>
      </c>
      <c r="F35" s="7">
        <v>56500</v>
      </c>
      <c r="G35" s="5">
        <v>87800</v>
      </c>
      <c r="H35" s="67">
        <v>45111</v>
      </c>
      <c r="I35" s="47" t="s">
        <v>26</v>
      </c>
      <c r="J35" s="4">
        <f t="shared" si="2"/>
        <v>0.55398230088495581</v>
      </c>
      <c r="K35" s="63">
        <f t="shared" ref="K35:K41" si="11">IFERROR(ROUND($F35+($G35-$F35)*0.632,0),"")</f>
        <v>76282</v>
      </c>
      <c r="L35" s="5">
        <f t="shared" si="3"/>
        <v>72150</v>
      </c>
      <c r="M35" s="5">
        <f t="shared" si="4"/>
        <v>68018</v>
      </c>
      <c r="N35" s="5">
        <f t="shared" si="5"/>
        <v>63198</v>
      </c>
      <c r="O35" s="9"/>
      <c r="P35" s="65"/>
      <c r="Q35" s="66"/>
      <c r="R35" s="43"/>
      <c r="S35" s="66"/>
      <c r="T35" s="65"/>
      <c r="U35" s="5"/>
      <c r="V35" s="26" t="str" cm="1">
        <f t="array" ref="V35">IFERROR(_xlfn.IFS(O35="F2",U35/K35,O35="F23",U35/L35,O35="F234",U35/M35,O35="F3",U35/L35,O35="F34",U35/M35,O35="F234손절",U35/K35,O35="F2345손절",U35/K35,O35="F34손절",U35/L35,O35="F345손절",U35/L35)-1,"")</f>
        <v/>
      </c>
      <c r="Z35" s="48"/>
      <c r="AB35" s="48"/>
      <c r="AC35" s="34"/>
    </row>
    <row r="36" spans="1:29">
      <c r="A36" s="36" t="s">
        <v>55</v>
      </c>
      <c r="B36" s="5">
        <v>54700</v>
      </c>
      <c r="C36" s="5" t="str">
        <f t="shared" si="7"/>
        <v/>
      </c>
      <c r="D36" s="5"/>
      <c r="E36" s="64">
        <f t="shared" si="1"/>
        <v>-1</v>
      </c>
      <c r="F36" s="7"/>
      <c r="G36" s="5"/>
      <c r="H36" s="65"/>
      <c r="I36" s="9"/>
      <c r="J36" s="4" t="str">
        <f t="shared" si="2"/>
        <v/>
      </c>
      <c r="K36" s="5">
        <f t="shared" si="11"/>
        <v>0</v>
      </c>
      <c r="L36" s="5">
        <f t="shared" si="3"/>
        <v>0</v>
      </c>
      <c r="M36" s="5">
        <f t="shared" si="4"/>
        <v>0</v>
      </c>
      <c r="N36" s="5">
        <f t="shared" si="5"/>
        <v>0</v>
      </c>
      <c r="O36" s="9"/>
      <c r="P36" s="65"/>
      <c r="Q36" s="66"/>
      <c r="R36" s="43"/>
      <c r="S36" s="65"/>
      <c r="T36" s="65"/>
      <c r="U36" s="5"/>
      <c r="V36" s="26" t="str" cm="1">
        <f t="array" ref="V36">IFERROR(_xlfn.IFS(O36="F2",U36/K36,O36="F23",U36/L36,O36="F234",U36/M36,O36="F3",U36/L36,O36="F34",U36/M36,O36="F234손절",U36/K36,O36="F2345손절",U36/K36,O36="F34손절",U36/L36,O36="F345손절",U36/L36)-1,"")</f>
        <v/>
      </c>
      <c r="Z36" s="48"/>
      <c r="AB36" s="48"/>
      <c r="AC36" s="34"/>
    </row>
    <row r="37" spans="1:29">
      <c r="A37" s="36" t="s">
        <v>56</v>
      </c>
      <c r="B37" s="5">
        <v>56400</v>
      </c>
      <c r="C37" s="5" t="str">
        <f t="shared" si="7"/>
        <v/>
      </c>
      <c r="D37" s="5"/>
      <c r="E37" s="64">
        <f t="shared" si="1"/>
        <v>-1</v>
      </c>
      <c r="F37" s="7"/>
      <c r="G37" s="5"/>
      <c r="H37" s="65"/>
      <c r="I37" s="9"/>
      <c r="J37" s="4" t="str">
        <f t="shared" si="2"/>
        <v/>
      </c>
      <c r="K37" s="5">
        <f t="shared" si="11"/>
        <v>0</v>
      </c>
      <c r="L37" s="5">
        <f t="shared" si="3"/>
        <v>0</v>
      </c>
      <c r="M37" s="5">
        <f t="shared" si="4"/>
        <v>0</v>
      </c>
      <c r="N37" s="5">
        <f t="shared" si="5"/>
        <v>0</v>
      </c>
      <c r="O37" s="9"/>
      <c r="P37" s="65"/>
      <c r="Q37" s="66"/>
      <c r="R37" s="43"/>
      <c r="S37" s="65"/>
      <c r="T37" s="65"/>
      <c r="U37" s="5"/>
      <c r="V37" s="26" t="str" cm="1">
        <f t="array" ref="V37">IFERROR(_xlfn.IFS(O37="F2",U37/K37,O37="F23",U37/L37,O37="F234",U37/M37,O37="F3",U37/L37,O37="F34",U37/M37,O37="F234손절",U37/K37,O37="F2345손절",U37/K37,O37="F34손절",U37/L37,O37="F345손절",U37/L37)-1,"")</f>
        <v/>
      </c>
      <c r="Z37" s="48"/>
      <c r="AB37" s="48"/>
      <c r="AC37" s="34"/>
    </row>
    <row r="38" spans="1:29">
      <c r="A38" s="36" t="s">
        <v>57</v>
      </c>
      <c r="B38" s="5">
        <v>980000</v>
      </c>
      <c r="C38" s="5" t="str">
        <f t="shared" si="7"/>
        <v/>
      </c>
      <c r="D38" s="5"/>
      <c r="E38" s="64">
        <f t="shared" si="1"/>
        <v>-1</v>
      </c>
      <c r="F38" s="7"/>
      <c r="G38" s="5"/>
      <c r="H38" s="65"/>
      <c r="I38" s="9"/>
      <c r="J38" s="4" t="str">
        <f t="shared" si="2"/>
        <v/>
      </c>
      <c r="K38" s="5">
        <f t="shared" si="11"/>
        <v>0</v>
      </c>
      <c r="L38" s="5">
        <f t="shared" si="3"/>
        <v>0</v>
      </c>
      <c r="M38" s="5">
        <f t="shared" si="4"/>
        <v>0</v>
      </c>
      <c r="N38" s="5">
        <f t="shared" si="5"/>
        <v>0</v>
      </c>
      <c r="O38" s="9"/>
      <c r="P38" s="65"/>
      <c r="Q38" s="66"/>
      <c r="R38" s="43"/>
      <c r="S38" s="66"/>
      <c r="T38" s="65"/>
      <c r="U38" s="5"/>
      <c r="V38" s="26" t="str" cm="1">
        <f t="array" ref="V38">IFERROR(_xlfn.IFS(O38="F2",U38/K38,O38="F23",U38/L38,O38="F234",U38/M38,O38="F3",U38/L38,O38="F34",U38/M38,O38="F234손절",U38/K38,O38="F2345손절",U38/K38,O38="F34손절",U38/L38,O38="F345손절",U38/L38)-1,"")</f>
        <v/>
      </c>
      <c r="Z38" s="48"/>
      <c r="AB38" s="48"/>
      <c r="AC38" s="34"/>
    </row>
    <row r="39" spans="1:29">
      <c r="A39" s="36" t="s">
        <v>58</v>
      </c>
      <c r="B39" s="5">
        <v>6230</v>
      </c>
      <c r="C39" s="5" t="str">
        <f t="shared" si="7"/>
        <v/>
      </c>
      <c r="D39" s="5"/>
      <c r="E39" s="64">
        <f t="shared" si="1"/>
        <v>-1</v>
      </c>
      <c r="F39" s="7"/>
      <c r="G39" s="5"/>
      <c r="H39" s="65"/>
      <c r="I39" s="9"/>
      <c r="J39" s="4" t="str">
        <f t="shared" si="2"/>
        <v/>
      </c>
      <c r="K39" s="5">
        <f t="shared" si="11"/>
        <v>0</v>
      </c>
      <c r="L39" s="5">
        <f t="shared" si="3"/>
        <v>0</v>
      </c>
      <c r="M39" s="5">
        <f t="shared" si="4"/>
        <v>0</v>
      </c>
      <c r="N39" s="5">
        <f t="shared" si="5"/>
        <v>0</v>
      </c>
      <c r="O39" s="9"/>
      <c r="P39" s="65"/>
      <c r="Q39" s="66"/>
      <c r="R39" s="43"/>
      <c r="S39" s="65"/>
      <c r="T39" s="65"/>
      <c r="U39" s="5"/>
      <c r="V39" s="26" t="str" cm="1">
        <f t="array" ref="V39">IFERROR(_xlfn.IFS(O39="F2",U39/K39,O39="F23",U39/L39,O39="F234",U39/M39,O39="F3",U39/L39,O39="F34",U39/M39,O39="F234손절",U39/K39,O39="F2345손절",U39/K39,O39="F34손절",U39/L39,O39="F345손절",U39/L39)-1,"")</f>
        <v/>
      </c>
      <c r="Z39" s="48"/>
      <c r="AB39" s="48"/>
      <c r="AC39" s="34"/>
    </row>
    <row r="40" spans="1:29">
      <c r="A40" s="36" t="s">
        <v>59</v>
      </c>
      <c r="B40" s="5">
        <v>97900</v>
      </c>
      <c r="C40" s="5">
        <f t="shared" si="7"/>
        <v>5.5865921787709496</v>
      </c>
      <c r="D40" s="5">
        <v>89500</v>
      </c>
      <c r="E40" s="64">
        <f t="shared" si="1"/>
        <v>-8.5801838610827352E-2</v>
      </c>
      <c r="F40" s="7">
        <v>74400</v>
      </c>
      <c r="G40" s="5">
        <v>104700</v>
      </c>
      <c r="H40" s="67">
        <v>45103</v>
      </c>
      <c r="I40" s="47" t="s">
        <v>60</v>
      </c>
      <c r="J40" s="4">
        <f t="shared" si="2"/>
        <v>0.407258064516129</v>
      </c>
      <c r="K40" s="63">
        <f t="shared" si="11"/>
        <v>93550</v>
      </c>
      <c r="L40" s="63">
        <f t="shared" si="3"/>
        <v>89550</v>
      </c>
      <c r="M40" s="5">
        <f t="shared" si="4"/>
        <v>85550</v>
      </c>
      <c r="N40" s="5">
        <f t="shared" si="5"/>
        <v>80884</v>
      </c>
      <c r="O40" s="9"/>
      <c r="P40" s="65"/>
      <c r="Q40" s="66"/>
      <c r="R40" s="43"/>
      <c r="S40" s="65"/>
      <c r="T40" s="65"/>
      <c r="U40" s="5"/>
      <c r="V40" s="26" t="str" cm="1">
        <f t="array" ref="V40">IFERROR(_xlfn.IFS(O40="F2",U40/K40,O40="F23",U40/L40,O40="F234",U40/M40,O40="F3",U40/L40,O40="F34",U40/M40,O40="F234손절",U40/K40,O40="F2345손절",U40/K40,O40="F34손절",U40/L40,O40="F345손절",U40/L40)-1,"")</f>
        <v/>
      </c>
      <c r="Z40" s="48"/>
      <c r="AB40" s="48"/>
      <c r="AC40" s="34"/>
    </row>
    <row r="41" spans="1:29">
      <c r="A41" s="36" t="s">
        <v>61</v>
      </c>
      <c r="B41" s="5">
        <v>6340</v>
      </c>
      <c r="C41" s="5">
        <f t="shared" si="7"/>
        <v>84.317032040472171</v>
      </c>
      <c r="D41" s="5">
        <v>5930</v>
      </c>
      <c r="E41" s="64">
        <f t="shared" si="1"/>
        <v>-6.466876971608837E-2</v>
      </c>
      <c r="F41" s="7">
        <v>4495</v>
      </c>
      <c r="G41" s="5">
        <v>7370</v>
      </c>
      <c r="H41" s="67">
        <v>45111</v>
      </c>
      <c r="I41" s="47" t="s">
        <v>26</v>
      </c>
      <c r="J41" s="4">
        <f t="shared" si="2"/>
        <v>0.63959955506117905</v>
      </c>
      <c r="K41" s="63">
        <f t="shared" si="11"/>
        <v>6312</v>
      </c>
      <c r="L41" s="63">
        <f t="shared" si="3"/>
        <v>5933</v>
      </c>
      <c r="M41" s="5">
        <f t="shared" si="4"/>
        <v>5553</v>
      </c>
      <c r="N41" s="5">
        <f t="shared" si="5"/>
        <v>5110</v>
      </c>
      <c r="O41" s="9"/>
      <c r="P41" s="68" t="s">
        <v>49</v>
      </c>
      <c r="Q41" s="66"/>
      <c r="R41" s="43"/>
      <c r="S41" s="66"/>
      <c r="T41" s="65"/>
      <c r="U41" s="5"/>
      <c r="V41" s="26" t="str" cm="1">
        <f t="array" ref="V41">IFERROR(_xlfn.IFS(O41="F2",U41/K41,O41="F23",U41/L41,O41="F234",U41/M41,O41="F3",U41/L41,O41="F34",U41/M41,O41="F234손절",U41/K41,O41="F2345손절",U41/K41,O41="F34손절",U41/L41,O41="F345손절",U41/L41)-1,"")</f>
        <v/>
      </c>
      <c r="Z41" s="48"/>
      <c r="AB41" s="48"/>
      <c r="AC41" s="34"/>
    </row>
    <row r="42" spans="1:29">
      <c r="A42" s="36"/>
      <c r="B42" s="5"/>
      <c r="C42" s="5" t="str">
        <f t="shared" si="7"/>
        <v/>
      </c>
      <c r="D42" s="5"/>
      <c r="E42" s="64" t="str">
        <f t="shared" si="1"/>
        <v/>
      </c>
      <c r="F42" s="7"/>
      <c r="G42" s="5"/>
      <c r="H42" s="65"/>
      <c r="I42" s="9"/>
      <c r="J42" s="4" t="str">
        <f t="shared" si="2"/>
        <v/>
      </c>
      <c r="K42" s="5">
        <f xml:space="preserve"> COUNTIFS('F series'!T51:T79,#REF!, 'F series'!O51:O79,#REF!)</f>
        <v>0</v>
      </c>
      <c r="L42" s="5">
        <f t="shared" si="3"/>
        <v>0</v>
      </c>
      <c r="M42" s="5">
        <f t="shared" si="4"/>
        <v>0</v>
      </c>
      <c r="N42" s="5">
        <f t="shared" si="5"/>
        <v>0</v>
      </c>
      <c r="O42" s="9"/>
      <c r="P42" s="65"/>
      <c r="Q42" s="66"/>
      <c r="R42" s="43"/>
      <c r="S42" s="65"/>
      <c r="T42" s="65"/>
      <c r="U42" s="5"/>
      <c r="V42" s="26" t="str" cm="1">
        <f t="array" ref="V42">IFERROR(_xlfn.IFS(O42="F2",U42/K42,O42="F23",U42/L42,O42="F234",U42/M42,O42="F3",U42/L42,O42="F34",U42/M42,O42="F234손절",U42/K42,O42="F2345손절",U42/K42,O42="F34손절",U42/L42,O42="F345손절",U42/L42)-1,"")</f>
        <v/>
      </c>
    </row>
    <row r="43" spans="1:29">
      <c r="A43" s="36" t="s">
        <v>62</v>
      </c>
      <c r="B43" s="5">
        <v>13720</v>
      </c>
      <c r="C43" s="5" t="str">
        <f t="shared" si="7"/>
        <v/>
      </c>
      <c r="D43" s="5"/>
      <c r="E43" s="64">
        <f t="shared" si="1"/>
        <v>-1</v>
      </c>
      <c r="F43" s="7">
        <v>9400</v>
      </c>
      <c r="G43" s="5">
        <v>14120</v>
      </c>
      <c r="H43" s="67">
        <v>45111</v>
      </c>
      <c r="I43" s="47" t="s">
        <v>26</v>
      </c>
      <c r="J43" s="4">
        <f t="shared" si="2"/>
        <v>0.50212765957446814</v>
      </c>
      <c r="K43" s="5">
        <f t="shared" ref="K43:K49" si="12">IFERROR(ROUND($F43+($G43-$F43)*0.632,0),"")</f>
        <v>12383</v>
      </c>
      <c r="L43" s="5">
        <f t="shared" si="3"/>
        <v>11760</v>
      </c>
      <c r="M43" s="5">
        <f t="shared" si="4"/>
        <v>11137</v>
      </c>
      <c r="N43" s="5">
        <f t="shared" si="5"/>
        <v>10410</v>
      </c>
      <c r="O43" s="9"/>
      <c r="P43" s="65"/>
      <c r="Q43" s="66"/>
      <c r="R43" s="43"/>
      <c r="S43" s="66"/>
      <c r="T43" s="65"/>
      <c r="U43" s="5"/>
      <c r="V43" s="26" t="str" cm="1">
        <f t="array" ref="V43">IFERROR(_xlfn.IFS(O43="F2",U43/K43,O43="F23",U43/L43,O43="F234",U43/M43,O43="F3",U43/L43,O43="F34",U43/M43,O43="F234손절",U43/K43,O43="F2345손절",U43/K43,O43="F34손절",U43/L43,O43="F345손절",U43/L43)-1,"")</f>
        <v/>
      </c>
      <c r="Z43" s="48"/>
      <c r="AB43" s="48"/>
      <c r="AC43" s="34"/>
    </row>
    <row r="44" spans="1:29">
      <c r="A44" s="36" t="s">
        <v>63</v>
      </c>
      <c r="B44" s="5">
        <v>9080</v>
      </c>
      <c r="C44" s="5" t="str">
        <f t="shared" si="7"/>
        <v/>
      </c>
      <c r="D44" s="5"/>
      <c r="E44" s="64">
        <f t="shared" si="1"/>
        <v>-1</v>
      </c>
      <c r="F44" s="7"/>
      <c r="G44" s="5"/>
      <c r="H44" s="65"/>
      <c r="I44" s="9"/>
      <c r="J44" s="4" t="str">
        <f t="shared" si="2"/>
        <v/>
      </c>
      <c r="K44" s="5">
        <f t="shared" si="12"/>
        <v>0</v>
      </c>
      <c r="L44" s="5">
        <f t="shared" si="3"/>
        <v>0</v>
      </c>
      <c r="M44" s="5">
        <f t="shared" si="4"/>
        <v>0</v>
      </c>
      <c r="N44" s="5">
        <f t="shared" si="5"/>
        <v>0</v>
      </c>
      <c r="O44" s="9"/>
      <c r="P44" s="65"/>
      <c r="Q44" s="66"/>
      <c r="R44" s="43"/>
      <c r="S44" s="65"/>
      <c r="T44" s="65"/>
      <c r="U44" s="5"/>
      <c r="V44" s="26" t="str" cm="1">
        <f t="array" ref="V44">IFERROR(_xlfn.IFS(O44="F2",U44/K44,O44="F23",U44/L44,O44="F234",U44/M44,O44="F3",U44/L44,O44="F34",U44/M44,O44="F234손절",U44/K44,O44="F2345손절",U44/K44,O44="F34손절",U44/L44,O44="F345손절",U44/L44)-1,"")</f>
        <v/>
      </c>
      <c r="Z44" s="48"/>
      <c r="AB44" s="48"/>
      <c r="AC44" s="34"/>
    </row>
    <row r="45" spans="1:29">
      <c r="A45" s="36" t="s">
        <v>64</v>
      </c>
      <c r="B45" s="5">
        <v>7430</v>
      </c>
      <c r="C45" s="5" t="str">
        <f t="shared" si="7"/>
        <v/>
      </c>
      <c r="D45" s="5"/>
      <c r="E45" s="64">
        <f t="shared" si="1"/>
        <v>-1</v>
      </c>
      <c r="F45" s="7"/>
      <c r="G45" s="5"/>
      <c r="H45" s="65"/>
      <c r="I45" s="9"/>
      <c r="J45" s="4" t="str">
        <f t="shared" si="2"/>
        <v/>
      </c>
      <c r="K45" s="5">
        <f t="shared" si="12"/>
        <v>0</v>
      </c>
      <c r="L45" s="5">
        <f t="shared" si="3"/>
        <v>0</v>
      </c>
      <c r="M45" s="5">
        <f t="shared" si="4"/>
        <v>0</v>
      </c>
      <c r="N45" s="5">
        <f t="shared" si="5"/>
        <v>0</v>
      </c>
      <c r="O45" s="9"/>
      <c r="P45" s="65"/>
      <c r="Q45" s="66"/>
      <c r="R45" s="43"/>
      <c r="S45" s="65"/>
      <c r="T45" s="65"/>
      <c r="U45" s="5"/>
      <c r="V45" s="26" t="str" cm="1">
        <f t="array" ref="V45">IFERROR(_xlfn.IFS(O45="F2",U45/K45,O45="F23",U45/L45,O45="F234",U45/M45,O45="F3",U45/L45,O45="F34",U45/M45,O45="F234손절",U45/K45,O45="F2345손절",U45/K45,O45="F34손절",U45/L45,O45="F345손절",U45/L45)-1,"")</f>
        <v/>
      </c>
      <c r="Z45" s="48"/>
      <c r="AB45" s="48"/>
      <c r="AC45" s="34"/>
    </row>
    <row r="46" spans="1:29">
      <c r="A46" s="36" t="s">
        <v>65</v>
      </c>
      <c r="B46" s="5">
        <v>22950</v>
      </c>
      <c r="C46" s="5">
        <f t="shared" si="7"/>
        <v>22.779043280182233</v>
      </c>
      <c r="D46" s="5">
        <v>21950</v>
      </c>
      <c r="E46" s="64">
        <f t="shared" si="1"/>
        <v>-4.3572984749455368E-2</v>
      </c>
      <c r="F46" s="7">
        <v>18420</v>
      </c>
      <c r="G46" s="5">
        <v>25500</v>
      </c>
      <c r="H46" s="67">
        <v>45110</v>
      </c>
      <c r="I46" s="47" t="s">
        <v>26</v>
      </c>
      <c r="J46" s="4">
        <f t="shared" si="2"/>
        <v>0.38436482084690549</v>
      </c>
      <c r="K46" s="63">
        <f t="shared" si="12"/>
        <v>22895</v>
      </c>
      <c r="L46" s="63">
        <f t="shared" si="3"/>
        <v>21960</v>
      </c>
      <c r="M46" s="5">
        <f t="shared" si="4"/>
        <v>21025</v>
      </c>
      <c r="N46" s="5">
        <f t="shared" si="5"/>
        <v>19935</v>
      </c>
      <c r="O46" s="9"/>
      <c r="P46" s="68" t="s">
        <v>29</v>
      </c>
      <c r="Q46" s="66"/>
      <c r="R46" s="43"/>
      <c r="S46" s="66"/>
      <c r="T46" s="65"/>
      <c r="U46" s="5"/>
      <c r="V46" s="26" t="str" cm="1">
        <f t="array" ref="V46">IFERROR(_xlfn.IFS(O46="F2",U46/K46,O46="F23",U46/L46,O46="F234",U46/M46,O46="F3",U46/L46,O46="F34",U46/M46,O46="F234손절",U46/K46,O46="F2345손절",U46/K46,O46="F34손절",U46/L46,O46="F345손절",U46/L46)-1,"")</f>
        <v/>
      </c>
      <c r="Z46" s="48"/>
      <c r="AB46" s="48"/>
      <c r="AC46" s="34"/>
    </row>
    <row r="47" spans="1:29">
      <c r="A47" s="36" t="s">
        <v>66</v>
      </c>
      <c r="B47" s="5">
        <v>4980</v>
      </c>
      <c r="C47" s="5" t="str">
        <f t="shared" si="7"/>
        <v/>
      </c>
      <c r="D47" s="5"/>
      <c r="E47" s="64">
        <f t="shared" si="1"/>
        <v>-1</v>
      </c>
      <c r="F47" s="7"/>
      <c r="G47" s="5"/>
      <c r="H47" s="65"/>
      <c r="I47" s="9"/>
      <c r="J47" s="4" t="str">
        <f t="shared" si="2"/>
        <v/>
      </c>
      <c r="K47" s="5">
        <f t="shared" si="12"/>
        <v>0</v>
      </c>
      <c r="L47" s="5">
        <f t="shared" si="3"/>
        <v>0</v>
      </c>
      <c r="M47" s="5">
        <f t="shared" si="4"/>
        <v>0</v>
      </c>
      <c r="N47" s="5">
        <f t="shared" si="5"/>
        <v>0</v>
      </c>
      <c r="O47" s="9"/>
      <c r="P47" s="65"/>
      <c r="Q47" s="66"/>
      <c r="R47" s="43"/>
      <c r="S47" s="65"/>
      <c r="T47" s="65"/>
      <c r="U47" s="5"/>
      <c r="V47" s="26" t="str" cm="1">
        <f t="array" ref="V47">IFERROR(_xlfn.IFS(O47="F2",U47/K47,O47="F23",U47/L47,O47="F234",U47/M47,O47="F3",U47/L47,O47="F34",U47/M47,O47="F234손절",U47/K47,O47="F2345손절",U47/K47,O47="F34손절",U47/L47,O47="F345손절",U47/L47)-1,"")</f>
        <v/>
      </c>
      <c r="Z47" s="48"/>
      <c r="AB47" s="48"/>
      <c r="AC47" s="34"/>
    </row>
    <row r="48" spans="1:29">
      <c r="A48" s="36" t="s">
        <v>67</v>
      </c>
      <c r="B48" s="5">
        <v>7250</v>
      </c>
      <c r="C48" s="5">
        <f t="shared" si="7"/>
        <v>72.358900144717794</v>
      </c>
      <c r="D48" s="5">
        <v>6910</v>
      </c>
      <c r="E48" s="64">
        <f t="shared" si="1"/>
        <v>-4.689655172413798E-2</v>
      </c>
      <c r="F48" s="7">
        <v>5980</v>
      </c>
      <c r="G48" s="5">
        <v>7850</v>
      </c>
      <c r="H48" s="67">
        <v>45106</v>
      </c>
      <c r="I48" s="47" t="s">
        <v>29</v>
      </c>
      <c r="J48" s="4">
        <f t="shared" si="2"/>
        <v>0.31270903010033435</v>
      </c>
      <c r="K48" s="63">
        <f t="shared" si="12"/>
        <v>7162</v>
      </c>
      <c r="L48" s="63">
        <f t="shared" si="3"/>
        <v>6915</v>
      </c>
      <c r="M48" s="5">
        <f t="shared" si="4"/>
        <v>6668</v>
      </c>
      <c r="N48" s="5">
        <f t="shared" si="5"/>
        <v>6380</v>
      </c>
      <c r="O48" s="9"/>
      <c r="P48" s="68" t="s">
        <v>31</v>
      </c>
      <c r="Q48" s="66"/>
      <c r="R48" s="43"/>
      <c r="S48" s="65"/>
      <c r="T48" s="65"/>
      <c r="U48" s="5"/>
      <c r="V48" s="26" t="str" cm="1">
        <f t="array" ref="V48">IFERROR(_xlfn.IFS(O48="F2",U48/K48,O48="F23",U48/L48,O48="F234",U48/M48,O48="F3",U48/L48,O48="F34",U48/M48,O48="F234손절",U48/K48,O48="F2345손절",U48/K48,O48="F34손절",U48/L48,O48="F345손절",U48/L48)-1,"")</f>
        <v/>
      </c>
      <c r="Z48" s="48"/>
      <c r="AB48" s="48"/>
      <c r="AC48" s="34"/>
    </row>
    <row r="49" spans="1:29">
      <c r="A49" s="36" t="s">
        <v>68</v>
      </c>
      <c r="B49" s="5">
        <v>7170</v>
      </c>
      <c r="C49" s="5">
        <f t="shared" si="7"/>
        <v>73.85524372230428</v>
      </c>
      <c r="D49" s="5">
        <v>6770</v>
      </c>
      <c r="E49" s="64">
        <f t="shared" si="1"/>
        <v>-5.5788005578800592E-2</v>
      </c>
      <c r="F49" s="7">
        <v>6010</v>
      </c>
      <c r="G49" s="5">
        <v>8100</v>
      </c>
      <c r="H49" s="67">
        <v>45106</v>
      </c>
      <c r="I49" s="47" t="s">
        <v>31</v>
      </c>
      <c r="J49" s="4">
        <f t="shared" si="2"/>
        <v>0.34775374376039925</v>
      </c>
      <c r="K49" s="5">
        <f t="shared" si="12"/>
        <v>7331</v>
      </c>
      <c r="L49" s="63">
        <f t="shared" si="3"/>
        <v>7055</v>
      </c>
      <c r="M49" s="63">
        <f t="shared" si="4"/>
        <v>6779</v>
      </c>
      <c r="N49" s="5">
        <f t="shared" si="5"/>
        <v>6457</v>
      </c>
      <c r="O49" s="9"/>
      <c r="P49" s="68" t="s">
        <v>29</v>
      </c>
      <c r="Q49" s="66"/>
      <c r="R49" s="43"/>
      <c r="S49" s="66"/>
      <c r="T49" s="65"/>
      <c r="U49" s="5"/>
      <c r="V49" s="26" t="str" cm="1">
        <f t="array" ref="V49">IFERROR(_xlfn.IFS(O49="F2",U49/K49,O49="F23",U49/L49,O49="F234",U49/M49,O49="F3",U49/L49,O49="F34",U49/M49,O49="F234손절",U49/K49,O49="F2345손절",U49/K49,O49="F34손절",U49/L49,O49="F345손절",U49/L49)-1,"")</f>
        <v/>
      </c>
      <c r="Z49" s="48"/>
      <c r="AB49" s="48"/>
      <c r="AC49" s="34"/>
    </row>
    <row r="50" spans="1:29">
      <c r="A50" s="36"/>
      <c r="B50" s="5"/>
      <c r="C50" s="5" t="str">
        <f t="shared" si="7"/>
        <v/>
      </c>
      <c r="D50" s="5"/>
      <c r="E50" s="64" t="str">
        <f t="shared" si="1"/>
        <v/>
      </c>
      <c r="F50" s="7"/>
      <c r="G50" s="5"/>
      <c r="H50" s="65"/>
      <c r="I50" s="9"/>
      <c r="J50" s="4" t="str">
        <f t="shared" si="2"/>
        <v/>
      </c>
      <c r="K50" s="5">
        <f xml:space="preserve"> COUNTIFS('F series'!T59:T87,#REF!, 'F series'!O59:O87,#REF!)</f>
        <v>0</v>
      </c>
      <c r="L50" s="5">
        <f t="shared" si="3"/>
        <v>0</v>
      </c>
      <c r="M50" s="5">
        <f t="shared" si="4"/>
        <v>0</v>
      </c>
      <c r="N50" s="5">
        <f t="shared" si="5"/>
        <v>0</v>
      </c>
      <c r="O50" s="9"/>
      <c r="P50" s="65"/>
      <c r="Q50" s="66"/>
      <c r="R50" s="43"/>
      <c r="S50" s="65"/>
      <c r="T50" s="65"/>
      <c r="U50" s="5"/>
      <c r="V50" s="26" t="str" cm="1">
        <f t="array" ref="V50">IFERROR(_xlfn.IFS(O50="F2",U50/K50,O50="F23",U50/L50,O50="F234",U50/M50,O50="F3",U50/L50,O50="F34",U50/M50,O50="F234손절",U50/K50,O50="F2345손절",U50/K50,O50="F34손절",U50/L50,O50="F345손절",U50/L50)-1,"")</f>
        <v/>
      </c>
    </row>
    <row r="51" spans="1:29">
      <c r="A51" s="36" t="s">
        <v>69</v>
      </c>
      <c r="B51" s="5">
        <v>13890</v>
      </c>
      <c r="C51" s="5" t="str">
        <f t="shared" si="7"/>
        <v/>
      </c>
      <c r="D51" s="5"/>
      <c r="E51" s="64">
        <f t="shared" si="1"/>
        <v>-1</v>
      </c>
      <c r="F51" s="7">
        <v>11420</v>
      </c>
      <c r="G51" s="5">
        <v>16830</v>
      </c>
      <c r="H51" s="67">
        <v>45106</v>
      </c>
      <c r="I51" s="47" t="s">
        <v>26</v>
      </c>
      <c r="J51" s="4">
        <f t="shared" si="2"/>
        <v>0.47373029772329245</v>
      </c>
      <c r="K51" s="5">
        <f t="shared" ref="K51:K73" si="13">IFERROR(ROUND($F51+($G51-$F51)*0.632,0),"")</f>
        <v>14839</v>
      </c>
      <c r="L51" s="5">
        <f t="shared" si="3"/>
        <v>14125</v>
      </c>
      <c r="M51" s="5">
        <f t="shared" si="4"/>
        <v>13411</v>
      </c>
      <c r="N51" s="5">
        <f t="shared" si="5"/>
        <v>12578</v>
      </c>
      <c r="O51" s="9"/>
      <c r="P51" s="68" t="s">
        <v>49</v>
      </c>
      <c r="Q51" s="69" t="s">
        <v>27</v>
      </c>
      <c r="R51" s="43"/>
      <c r="S51" s="66"/>
      <c r="T51" s="65"/>
      <c r="U51" s="5"/>
      <c r="V51" s="26" t="str" cm="1">
        <f t="array" ref="V51">IFERROR(_xlfn.IFS(O51="F2",U51/K51,O51="F23",U51/L51,O51="F234",U51/M51,O51="F3",U51/L51,O51="F34",U51/M51,O51="F234손절",U51/K51,O51="F2345손절",U51/K51,O51="F34손절",U51/L51,O51="F345손절",U51/L51)-1,"")</f>
        <v/>
      </c>
      <c r="Z51" s="48"/>
      <c r="AB51" s="48"/>
      <c r="AC51" s="34"/>
    </row>
    <row r="52" spans="1:29">
      <c r="A52" s="36" t="s">
        <v>70</v>
      </c>
      <c r="B52" s="5">
        <v>5260</v>
      </c>
      <c r="C52" s="5" t="str">
        <f t="shared" si="7"/>
        <v/>
      </c>
      <c r="D52" s="5"/>
      <c r="E52" s="64">
        <f t="shared" si="1"/>
        <v>-1</v>
      </c>
      <c r="F52" s="7"/>
      <c r="G52" s="5"/>
      <c r="H52" s="65"/>
      <c r="I52" s="9"/>
      <c r="J52" s="4" t="str">
        <f t="shared" si="2"/>
        <v/>
      </c>
      <c r="K52" s="5">
        <f t="shared" si="13"/>
        <v>0</v>
      </c>
      <c r="L52" s="5">
        <f t="shared" si="3"/>
        <v>0</v>
      </c>
      <c r="M52" s="5">
        <f t="shared" si="4"/>
        <v>0</v>
      </c>
      <c r="N52" s="5">
        <f t="shared" si="5"/>
        <v>0</v>
      </c>
      <c r="O52" s="9"/>
      <c r="P52" s="65"/>
      <c r="Q52" s="66"/>
      <c r="R52" s="43"/>
      <c r="S52" s="65"/>
      <c r="T52" s="65"/>
      <c r="U52" s="5"/>
      <c r="V52" s="26" t="str" cm="1">
        <f t="array" ref="V52">IFERROR(_xlfn.IFS(O52="F2",U52/K52,O52="F23",U52/L52,O52="F234",U52/M52,O52="F3",U52/L52,O52="F34",U52/M52,O52="F234손절",U52/K52,O52="F2345손절",U52/K52,O52="F34손절",U52/L52,O52="F345손절",U52/L52)-1,"")</f>
        <v/>
      </c>
      <c r="Z52" s="48"/>
      <c r="AB52" s="48"/>
      <c r="AC52" s="34"/>
    </row>
    <row r="53" spans="1:29">
      <c r="A53" s="36" t="s">
        <v>71</v>
      </c>
      <c r="B53" s="5">
        <v>11370</v>
      </c>
      <c r="C53" s="5" t="str">
        <f t="shared" si="7"/>
        <v/>
      </c>
      <c r="D53" s="5"/>
      <c r="E53" s="64">
        <f t="shared" si="1"/>
        <v>-1</v>
      </c>
      <c r="F53" s="7"/>
      <c r="G53" s="5"/>
      <c r="H53" s="65"/>
      <c r="I53" s="9"/>
      <c r="J53" s="4" t="str">
        <f t="shared" si="2"/>
        <v/>
      </c>
      <c r="K53" s="5">
        <f t="shared" si="13"/>
        <v>0</v>
      </c>
      <c r="L53" s="5">
        <f t="shared" si="3"/>
        <v>0</v>
      </c>
      <c r="M53" s="5">
        <f t="shared" si="4"/>
        <v>0</v>
      </c>
      <c r="N53" s="5">
        <f t="shared" si="5"/>
        <v>0</v>
      </c>
      <c r="O53" s="9"/>
      <c r="P53" s="65"/>
      <c r="Q53" s="66"/>
      <c r="R53" s="43"/>
      <c r="S53" s="65"/>
      <c r="T53" s="65"/>
      <c r="U53" s="5"/>
      <c r="V53" s="26" t="str" cm="1">
        <f t="array" ref="V53">IFERROR(_xlfn.IFS(O53="F2",U53/K53,O53="F23",U53/L53,O53="F234",U53/M53,O53="F3",U53/L53,O53="F34",U53/M53,O53="F234손절",U53/K53,O53="F2345손절",U53/K53,O53="F34손절",U53/L53,O53="F345손절",U53/L53)-1,"")</f>
        <v/>
      </c>
      <c r="Z53" s="48"/>
      <c r="AB53" s="48"/>
      <c r="AC53" s="34"/>
    </row>
    <row r="54" spans="1:29">
      <c r="A54" s="36"/>
      <c r="B54" s="5"/>
      <c r="C54" s="5" t="str">
        <f t="shared" si="7"/>
        <v/>
      </c>
      <c r="D54" s="5"/>
      <c r="E54" s="64" t="str">
        <f t="shared" si="1"/>
        <v/>
      </c>
      <c r="F54" s="7"/>
      <c r="G54" s="5"/>
      <c r="H54" s="65"/>
      <c r="I54" s="9"/>
      <c r="J54" s="4" t="str">
        <f t="shared" si="2"/>
        <v/>
      </c>
      <c r="K54" s="5">
        <f t="shared" si="13"/>
        <v>0</v>
      </c>
      <c r="L54" s="5">
        <f t="shared" si="3"/>
        <v>0</v>
      </c>
      <c r="M54" s="5">
        <f t="shared" si="4"/>
        <v>0</v>
      </c>
      <c r="N54" s="5">
        <f t="shared" si="5"/>
        <v>0</v>
      </c>
      <c r="O54" s="9"/>
      <c r="P54" s="65"/>
      <c r="Q54" s="66"/>
      <c r="R54" s="43"/>
      <c r="S54" s="66"/>
      <c r="T54" s="65"/>
      <c r="U54" s="5"/>
      <c r="V54" s="26" t="str" cm="1">
        <f t="array" ref="V54">IFERROR(_xlfn.IFS(O54="F2",U54/K54,O54="F23",U54/L54,O54="F234",U54/M54,O54="F3",U54/L54,O54="F34",U54/M54,O54="F234손절",U54/K54,O54="F2345손절",U54/K54,O54="F34손절",U54/L54,O54="F345손절",U54/L54)-1,"")</f>
        <v/>
      </c>
    </row>
    <row r="55" spans="1:29">
      <c r="A55" s="36" t="s">
        <v>72</v>
      </c>
      <c r="B55" s="5">
        <v>2040</v>
      </c>
      <c r="C55" s="5" t="str">
        <f t="shared" si="7"/>
        <v/>
      </c>
      <c r="D55" s="5"/>
      <c r="E55" s="64">
        <f t="shared" si="1"/>
        <v>-1</v>
      </c>
      <c r="F55" s="7"/>
      <c r="G55" s="5"/>
      <c r="H55" s="65"/>
      <c r="I55" s="9"/>
      <c r="J55" s="4" t="str">
        <f t="shared" si="2"/>
        <v/>
      </c>
      <c r="K55" s="5">
        <f t="shared" si="13"/>
        <v>0</v>
      </c>
      <c r="L55" s="5">
        <f t="shared" si="3"/>
        <v>0</v>
      </c>
      <c r="M55" s="5">
        <f t="shared" si="4"/>
        <v>0</v>
      </c>
      <c r="N55" s="5">
        <f t="shared" si="5"/>
        <v>0</v>
      </c>
      <c r="O55" s="9"/>
      <c r="P55" s="65"/>
      <c r="Q55" s="66"/>
      <c r="R55" s="43"/>
      <c r="S55" s="65"/>
      <c r="T55" s="65"/>
      <c r="U55" s="5"/>
      <c r="V55" s="26" t="str" cm="1">
        <f t="array" ref="V55">IFERROR(_xlfn.IFS(O55="F2",U55/K55,O55="F23",U55/L55,O55="F234",U55/M55,O55="F3",U55/L55,O55="F34",U55/M55,O55="F234손절",U55/K55,O55="F2345손절",U55/K55,O55="F34손절",U55/L55,O55="F345손절",U55/L55)-1,"")</f>
        <v/>
      </c>
      <c r="Z55" s="48"/>
      <c r="AB55" s="48"/>
      <c r="AC55" s="34"/>
    </row>
    <row r="56" spans="1:29">
      <c r="A56" s="36" t="s">
        <v>73</v>
      </c>
      <c r="B56" s="5">
        <v>8420</v>
      </c>
      <c r="C56" s="5" t="str">
        <f t="shared" si="7"/>
        <v/>
      </c>
      <c r="D56" s="5"/>
      <c r="E56" s="64">
        <f t="shared" si="1"/>
        <v>-1</v>
      </c>
      <c r="F56" s="7"/>
      <c r="G56" s="5"/>
      <c r="H56" s="65"/>
      <c r="I56" s="9"/>
      <c r="J56" s="4" t="str">
        <f t="shared" si="2"/>
        <v/>
      </c>
      <c r="K56" s="5">
        <f t="shared" si="13"/>
        <v>0</v>
      </c>
      <c r="L56" s="5">
        <f t="shared" si="3"/>
        <v>0</v>
      </c>
      <c r="M56" s="5">
        <f t="shared" si="4"/>
        <v>0</v>
      </c>
      <c r="N56" s="5">
        <f t="shared" si="5"/>
        <v>0</v>
      </c>
      <c r="O56" s="9"/>
      <c r="P56" s="65"/>
      <c r="Q56" s="66"/>
      <c r="R56" s="43"/>
      <c r="S56" s="65"/>
      <c r="T56" s="65"/>
      <c r="U56" s="5"/>
      <c r="V56" s="26" t="str" cm="1">
        <f t="array" ref="V56">IFERROR(_xlfn.IFS(O56="F2",U56/K56,O56="F23",U56/L56,O56="F234",U56/M56,O56="F3",U56/L56,O56="F34",U56/M56,O56="F234손절",U56/K56,O56="F2345손절",U56/K56,O56="F34손절",U56/L56,O56="F345손절",U56/L56)-1,"")</f>
        <v/>
      </c>
      <c r="Z56" s="48"/>
      <c r="AB56" s="48"/>
      <c r="AC56" s="34"/>
    </row>
    <row r="57" spans="1:29">
      <c r="A57" s="36"/>
      <c r="B57" s="5"/>
      <c r="C57" s="5" t="str">
        <f t="shared" si="7"/>
        <v/>
      </c>
      <c r="D57" s="5"/>
      <c r="E57" s="64" t="str">
        <f t="shared" si="1"/>
        <v/>
      </c>
      <c r="F57" s="7"/>
      <c r="G57" s="5"/>
      <c r="H57" s="65"/>
      <c r="I57" s="9"/>
      <c r="J57" s="4" t="str">
        <f t="shared" si="2"/>
        <v/>
      </c>
      <c r="K57" s="5">
        <f t="shared" si="13"/>
        <v>0</v>
      </c>
      <c r="L57" s="5">
        <f t="shared" si="3"/>
        <v>0</v>
      </c>
      <c r="M57" s="5">
        <f t="shared" si="4"/>
        <v>0</v>
      </c>
      <c r="N57" s="5">
        <f t="shared" si="5"/>
        <v>0</v>
      </c>
      <c r="O57" s="9"/>
      <c r="P57" s="65"/>
      <c r="Q57" s="66"/>
      <c r="R57" s="43"/>
      <c r="S57" s="66"/>
      <c r="T57" s="65"/>
      <c r="U57" s="5"/>
      <c r="V57" s="26" t="str" cm="1">
        <f t="array" ref="V57">IFERROR(_xlfn.IFS(O57="F2",U57/K57,O57="F23",U57/L57,O57="F234",U57/M57,O57="F3",U57/L57,O57="F34",U57/M57,O57="F234손절",U57/K57,O57="F2345손절",U57/K57,O57="F34손절",U57/L57,O57="F345손절",U57/L57)-1,"")</f>
        <v/>
      </c>
    </row>
    <row r="58" spans="1:29">
      <c r="A58" s="36" t="s">
        <v>74</v>
      </c>
      <c r="B58" s="5">
        <v>7230</v>
      </c>
      <c r="C58" s="5">
        <f t="shared" si="7"/>
        <v>72.046109510086453</v>
      </c>
      <c r="D58" s="5">
        <v>6940</v>
      </c>
      <c r="E58" s="64">
        <f t="shared" si="1"/>
        <v>-4.0110650069156262E-2</v>
      </c>
      <c r="F58" s="7">
        <v>5810</v>
      </c>
      <c r="G58" s="5">
        <v>8900</v>
      </c>
      <c r="H58" s="67">
        <v>45106</v>
      </c>
      <c r="I58" s="47" t="s">
        <v>27</v>
      </c>
      <c r="J58" s="4">
        <f t="shared" si="2"/>
        <v>0.53184165232358005</v>
      </c>
      <c r="K58" s="5">
        <f t="shared" si="13"/>
        <v>7763</v>
      </c>
      <c r="L58" s="63">
        <f t="shared" si="3"/>
        <v>7355</v>
      </c>
      <c r="M58" s="63">
        <f t="shared" si="4"/>
        <v>6947</v>
      </c>
      <c r="N58" s="5">
        <f t="shared" si="5"/>
        <v>6471</v>
      </c>
      <c r="O58" s="9"/>
      <c r="P58" s="68"/>
      <c r="Q58" s="69" t="s">
        <v>26</v>
      </c>
      <c r="R58" s="43"/>
      <c r="S58" s="65"/>
      <c r="T58" s="65"/>
      <c r="U58" s="5"/>
      <c r="V58" s="26" t="str" cm="1">
        <f t="array" ref="V58">IFERROR(_xlfn.IFS(O58="F2",U58/K58,O58="F23",U58/L58,O58="F234",U58/M58,O58="F3",U58/L58,O58="F34",U58/M58,O58="F234손절",U58/K58,O58="F2345손절",U58/K58,O58="F34손절",U58/L58,O58="F345손절",U58/L58)-1,"")</f>
        <v/>
      </c>
      <c r="Z58" s="48"/>
      <c r="AB58" s="48"/>
      <c r="AC58" s="34"/>
    </row>
    <row r="59" spans="1:29">
      <c r="A59" s="36" t="s">
        <v>75</v>
      </c>
      <c r="B59" s="5">
        <v>3275</v>
      </c>
      <c r="C59" s="5" t="str">
        <f t="shared" si="7"/>
        <v/>
      </c>
      <c r="D59" s="5"/>
      <c r="E59" s="64">
        <f t="shared" si="1"/>
        <v>-1</v>
      </c>
      <c r="F59" s="7"/>
      <c r="G59" s="5"/>
      <c r="H59" s="65"/>
      <c r="I59" s="9"/>
      <c r="J59" s="4" t="str">
        <f t="shared" si="2"/>
        <v/>
      </c>
      <c r="K59" s="5">
        <f t="shared" si="13"/>
        <v>0</v>
      </c>
      <c r="L59" s="5">
        <f t="shared" si="3"/>
        <v>0</v>
      </c>
      <c r="M59" s="5">
        <f t="shared" si="4"/>
        <v>0</v>
      </c>
      <c r="N59" s="5">
        <f t="shared" si="5"/>
        <v>0</v>
      </c>
      <c r="O59" s="9"/>
      <c r="P59" s="65"/>
      <c r="Q59" s="66"/>
      <c r="R59" s="43"/>
      <c r="S59" s="66"/>
      <c r="T59" s="65"/>
      <c r="U59" s="5"/>
      <c r="V59" s="26" t="str" cm="1">
        <f t="array" ref="V59">IFERROR(_xlfn.IFS(O59="F2",U59/K59,O59="F23",U59/L59,O59="F234",U59/M59,O59="F3",U59/L59,O59="F34",U59/M59,O59="F234손절",U59/K59,O59="F2345손절",U59/K59,O59="F34손절",U59/L59,O59="F345손절",U59/L59)-1,"")</f>
        <v/>
      </c>
      <c r="Z59" s="48"/>
      <c r="AB59" s="48"/>
      <c r="AC59" s="34"/>
    </row>
    <row r="60" spans="1:29">
      <c r="A60" s="36"/>
      <c r="B60" s="5"/>
      <c r="C60" s="5" t="str">
        <f t="shared" si="7"/>
        <v/>
      </c>
      <c r="D60" s="5"/>
      <c r="E60" s="64" t="str">
        <f t="shared" si="1"/>
        <v/>
      </c>
      <c r="F60" s="7"/>
      <c r="G60" s="5"/>
      <c r="H60" s="65"/>
      <c r="I60" s="9"/>
      <c r="J60" s="4" t="str">
        <f t="shared" si="2"/>
        <v/>
      </c>
      <c r="K60" s="5">
        <f t="shared" si="13"/>
        <v>0</v>
      </c>
      <c r="L60" s="5">
        <f t="shared" si="3"/>
        <v>0</v>
      </c>
      <c r="M60" s="5">
        <f t="shared" si="4"/>
        <v>0</v>
      </c>
      <c r="N60" s="5">
        <f t="shared" si="5"/>
        <v>0</v>
      </c>
      <c r="O60" s="9"/>
      <c r="P60" s="65"/>
      <c r="Q60" s="66"/>
      <c r="R60" s="43"/>
      <c r="S60" s="65"/>
      <c r="T60" s="65"/>
      <c r="U60" s="5"/>
      <c r="V60" s="26" t="str" cm="1">
        <f t="array" ref="V60">IFERROR(_xlfn.IFS(O60="F2",U60/K60,O60="F23",U60/L60,O60="F234",U60/M60,O60="F3",U60/L60,O60="F34",U60/M60,O60="F234손절",U60/K60,O60="F2345손절",U60/K60,O60="F34손절",U60/L60,O60="F345손절",U60/L60)-1,"")</f>
        <v/>
      </c>
    </row>
    <row r="61" spans="1:29">
      <c r="A61" s="36" t="s">
        <v>76</v>
      </c>
      <c r="B61" s="5">
        <v>4405</v>
      </c>
      <c r="C61" s="5" t="str">
        <f t="shared" si="7"/>
        <v/>
      </c>
      <c r="D61" s="5"/>
      <c r="E61" s="64">
        <f t="shared" si="1"/>
        <v>-1</v>
      </c>
      <c r="F61" s="7">
        <v>3910</v>
      </c>
      <c r="G61" s="5">
        <v>5300</v>
      </c>
      <c r="H61" s="67">
        <v>45106</v>
      </c>
      <c r="I61" s="47" t="s">
        <v>27</v>
      </c>
      <c r="J61" s="4">
        <f t="shared" si="2"/>
        <v>0.35549872122762149</v>
      </c>
      <c r="K61" s="5">
        <f t="shared" si="13"/>
        <v>4788</v>
      </c>
      <c r="L61" s="5">
        <f t="shared" si="3"/>
        <v>4605</v>
      </c>
      <c r="M61" s="5">
        <f t="shared" si="4"/>
        <v>4422</v>
      </c>
      <c r="N61" s="5">
        <f t="shared" si="5"/>
        <v>4207</v>
      </c>
      <c r="O61" s="9"/>
      <c r="P61" s="68" t="s">
        <v>49</v>
      </c>
      <c r="Q61" s="69" t="s">
        <v>45</v>
      </c>
      <c r="R61" s="45" t="s">
        <v>29</v>
      </c>
      <c r="S61" s="65"/>
      <c r="T61" s="65"/>
      <c r="U61" s="5"/>
      <c r="V61" s="26" t="str" cm="1">
        <f t="array" ref="V61">IFERROR(_xlfn.IFS(O61="F2",U61/K61,O61="F23",U61/L61,O61="F234",U61/M61,O61="F3",U61/L61,O61="F34",U61/M61,O61="F234손절",U61/K61,O61="F2345손절",U61/K61,O61="F34손절",U61/L61,O61="F345손절",U61/L61)-1,"")</f>
        <v/>
      </c>
      <c r="Z61" s="48"/>
      <c r="AB61" s="48"/>
      <c r="AC61" s="34"/>
    </row>
    <row r="62" spans="1:29">
      <c r="A62" s="36" t="s">
        <v>77</v>
      </c>
      <c r="B62" s="5">
        <v>3360</v>
      </c>
      <c r="C62" s="5" t="str">
        <f t="shared" si="7"/>
        <v/>
      </c>
      <c r="D62" s="5"/>
      <c r="E62" s="64">
        <f t="shared" si="1"/>
        <v>-1</v>
      </c>
      <c r="F62" s="7"/>
      <c r="G62" s="5"/>
      <c r="H62" s="65"/>
      <c r="I62" s="9"/>
      <c r="J62" s="4" t="str">
        <f t="shared" si="2"/>
        <v/>
      </c>
      <c r="K62" s="5">
        <f t="shared" si="13"/>
        <v>0</v>
      </c>
      <c r="L62" s="5">
        <f t="shared" si="3"/>
        <v>0</v>
      </c>
      <c r="M62" s="5">
        <f t="shared" si="4"/>
        <v>0</v>
      </c>
      <c r="N62" s="5">
        <f t="shared" si="5"/>
        <v>0</v>
      </c>
      <c r="O62" s="9"/>
      <c r="P62" s="65"/>
      <c r="Q62" s="66"/>
      <c r="R62" s="43"/>
      <c r="S62" s="66"/>
      <c r="T62" s="65"/>
      <c r="U62" s="5"/>
      <c r="V62" s="26" t="str" cm="1">
        <f t="array" ref="V62">IFERROR(_xlfn.IFS(O62="F2",U62/K62,O62="F23",U62/L62,O62="F234",U62/M62,O62="F3",U62/L62,O62="F34",U62/M62,O62="F234손절",U62/K62,O62="F2345손절",U62/K62,O62="F34손절",U62/L62,O62="F345손절",U62/L62)-1,"")</f>
        <v/>
      </c>
      <c r="Z62" s="48"/>
      <c r="AB62" s="48"/>
      <c r="AC62" s="34"/>
    </row>
    <row r="63" spans="1:29">
      <c r="A63" s="36"/>
      <c r="B63" s="5"/>
      <c r="C63" s="5" t="str">
        <f t="shared" si="7"/>
        <v/>
      </c>
      <c r="D63" s="5"/>
      <c r="E63" s="64" t="str">
        <f t="shared" si="1"/>
        <v/>
      </c>
      <c r="F63" s="7"/>
      <c r="G63" s="5"/>
      <c r="H63" s="65"/>
      <c r="I63" s="9"/>
      <c r="J63" s="4" t="str">
        <f t="shared" si="2"/>
        <v/>
      </c>
      <c r="K63" s="5">
        <f t="shared" si="13"/>
        <v>0</v>
      </c>
      <c r="L63" s="5">
        <f t="shared" si="3"/>
        <v>0</v>
      </c>
      <c r="M63" s="5">
        <f t="shared" si="4"/>
        <v>0</v>
      </c>
      <c r="N63" s="5">
        <f t="shared" si="5"/>
        <v>0</v>
      </c>
      <c r="O63" s="9"/>
      <c r="P63" s="65"/>
      <c r="Q63" s="66"/>
      <c r="R63" s="43"/>
      <c r="S63" s="65"/>
      <c r="T63" s="65"/>
      <c r="U63" s="5"/>
      <c r="V63" s="26" t="str" cm="1">
        <f t="array" ref="V63">IFERROR(_xlfn.IFS(O63="F2",U63/K63,O63="F23",U63/L63,O63="F234",U63/M63,O63="F3",U63/L63,O63="F34",U63/M63,O63="F234손절",U63/K63,O63="F2345손절",U63/K63,O63="F34손절",U63/L63,O63="F345손절",U63/L63)-1,"")</f>
        <v/>
      </c>
    </row>
    <row r="64" spans="1:29">
      <c r="A64" s="36" t="s">
        <v>78</v>
      </c>
      <c r="B64" s="5">
        <v>5170</v>
      </c>
      <c r="C64" s="5">
        <f t="shared" si="7"/>
        <v>112.99435028248588</v>
      </c>
      <c r="D64" s="5">
        <v>4425</v>
      </c>
      <c r="E64" s="64">
        <f t="shared" si="1"/>
        <v>-0.14410058027079309</v>
      </c>
      <c r="F64" s="7">
        <v>3345</v>
      </c>
      <c r="G64" s="5">
        <v>5510</v>
      </c>
      <c r="H64" s="67">
        <v>45103</v>
      </c>
      <c r="I64" s="47" t="s">
        <v>60</v>
      </c>
      <c r="J64" s="4">
        <f t="shared" si="2"/>
        <v>0.6472346786248131</v>
      </c>
      <c r="K64" s="63">
        <f t="shared" si="13"/>
        <v>4713</v>
      </c>
      <c r="L64" s="5">
        <f t="shared" si="3"/>
        <v>4428</v>
      </c>
      <c r="M64" s="5">
        <f t="shared" si="4"/>
        <v>4142</v>
      </c>
      <c r="N64" s="5">
        <f t="shared" si="5"/>
        <v>3808</v>
      </c>
      <c r="O64" s="9"/>
      <c r="P64" s="65"/>
      <c r="Q64" s="66"/>
      <c r="R64" s="43"/>
      <c r="S64" s="65"/>
      <c r="T64" s="65"/>
      <c r="U64" s="5"/>
      <c r="V64" s="26" t="str" cm="1">
        <f t="array" ref="V64">IFERROR(_xlfn.IFS(O64="F2",U64/K64,O64="F23",U64/L64,O64="F234",U64/M64,O64="F3",U64/L64,O64="F34",U64/M64,O64="F234손절",U64/K64,O64="F2345손절",U64/K64,O64="F34손절",U64/L64,O64="F345손절",U64/L64)-1,"")</f>
        <v/>
      </c>
      <c r="Z64" s="48"/>
      <c r="AB64" s="48"/>
      <c r="AC64" s="34"/>
    </row>
    <row r="65" spans="1:29">
      <c r="A65" s="36"/>
      <c r="B65" s="5"/>
      <c r="C65" s="5" t="str">
        <f t="shared" si="7"/>
        <v/>
      </c>
      <c r="D65" s="5"/>
      <c r="E65" s="64" t="str">
        <f t="shared" si="1"/>
        <v/>
      </c>
      <c r="F65" s="7"/>
      <c r="G65" s="5"/>
      <c r="H65" s="65"/>
      <c r="I65" s="9"/>
      <c r="J65" s="4" t="str">
        <f t="shared" si="2"/>
        <v/>
      </c>
      <c r="K65" s="5">
        <f t="shared" si="13"/>
        <v>0</v>
      </c>
      <c r="L65" s="5">
        <f t="shared" si="3"/>
        <v>0</v>
      </c>
      <c r="M65" s="5">
        <f t="shared" si="4"/>
        <v>0</v>
      </c>
      <c r="N65" s="5">
        <f t="shared" si="5"/>
        <v>0</v>
      </c>
      <c r="O65" s="9"/>
      <c r="P65" s="65"/>
      <c r="Q65" s="66"/>
      <c r="R65" s="43"/>
      <c r="S65" s="66"/>
      <c r="T65" s="65"/>
      <c r="U65" s="5"/>
      <c r="V65" s="26" t="str" cm="1">
        <f t="array" ref="V65">IFERROR(_xlfn.IFS(O65="F2",U65/K65,O65="F23",U65/L65,O65="F234",U65/M65,O65="F3",U65/L65,O65="F34",U65/M65,O65="F234손절",U65/K65,O65="F2345손절",U65/K65,O65="F34손절",U65/L65,O65="F345손절",U65/L65)-1,"")</f>
        <v/>
      </c>
    </row>
    <row r="66" spans="1:29">
      <c r="A66" s="36" t="s">
        <v>79</v>
      </c>
      <c r="B66" s="5">
        <v>6890</v>
      </c>
      <c r="C66" s="5" t="str">
        <f t="shared" si="7"/>
        <v/>
      </c>
      <c r="D66" s="5"/>
      <c r="E66" s="64">
        <f t="shared" ref="E66:E95" si="14">IFERROR(D66/B66-1,"")</f>
        <v>-1</v>
      </c>
      <c r="F66" s="7">
        <v>4830</v>
      </c>
      <c r="G66" s="5" t="s">
        <v>80</v>
      </c>
      <c r="H66" s="67">
        <v>45113</v>
      </c>
      <c r="I66" s="9"/>
      <c r="J66" s="4" t="str">
        <f t="shared" ref="J66:J95" si="15">IFERROR(G66/F66-1,"")</f>
        <v/>
      </c>
      <c r="K66" s="5" t="str">
        <f t="shared" si="13"/>
        <v/>
      </c>
      <c r="L66" s="5" t="str">
        <f t="shared" ref="L66:L95" si="16">IFERROR(ROUND($F66+($G66-$F66)*0.5,0),"")</f>
        <v/>
      </c>
      <c r="M66" s="5" t="str">
        <f t="shared" ref="M66:M95" si="17">IFERROR(ROUND($F66+($G66-$F66)*0.368,0),"")</f>
        <v/>
      </c>
      <c r="N66" s="5" t="str">
        <f t="shared" ref="N66:N95" si="18">IFERROR(ROUND($F66+($G66-$F66)*0.214,0),"")</f>
        <v/>
      </c>
      <c r="O66" s="9"/>
      <c r="P66" s="65"/>
      <c r="Q66" s="66"/>
      <c r="R66" s="43"/>
      <c r="S66" s="65"/>
      <c r="T66" s="65"/>
      <c r="U66" s="5"/>
      <c r="V66" s="26" t="str" cm="1">
        <f t="array" ref="V66">IFERROR(_xlfn.IFS(O66="F2",U66/K66,O66="F23",U66/L66,O66="F234",U66/M66,O66="F3",U66/L66,O66="F34",U66/M66,O66="F234손절",U66/K66,O66="F2345손절",U66/K66,O66="F34손절",U66/L66,O66="F345손절",U66/L66)-1,"")</f>
        <v/>
      </c>
      <c r="Z66" s="48"/>
      <c r="AB66" s="48"/>
      <c r="AC66" s="34"/>
    </row>
    <row r="67" spans="1:29">
      <c r="A67" s="36" t="s">
        <v>81</v>
      </c>
      <c r="B67" s="5">
        <v>2215</v>
      </c>
      <c r="C67" s="5">
        <f t="shared" si="7"/>
        <v>243.90243902439025</v>
      </c>
      <c r="D67" s="5">
        <v>2050</v>
      </c>
      <c r="E67" s="64">
        <f t="shared" si="14"/>
        <v>-7.4492099322799099E-2</v>
      </c>
      <c r="F67" s="7">
        <v>1731</v>
      </c>
      <c r="G67" s="5">
        <v>2375</v>
      </c>
      <c r="H67" s="67">
        <v>45113</v>
      </c>
      <c r="I67" s="9"/>
      <c r="J67" s="4">
        <f t="shared" si="15"/>
        <v>0.37203928365106864</v>
      </c>
      <c r="K67" s="63">
        <f t="shared" si="13"/>
        <v>2138</v>
      </c>
      <c r="L67" s="63">
        <f t="shared" si="16"/>
        <v>2053</v>
      </c>
      <c r="M67" s="5">
        <f t="shared" si="17"/>
        <v>1968</v>
      </c>
      <c r="N67" s="5">
        <f t="shared" si="18"/>
        <v>1869</v>
      </c>
      <c r="O67" s="9"/>
      <c r="P67" s="68" t="s">
        <v>49</v>
      </c>
      <c r="Q67" s="66"/>
      <c r="R67" s="43"/>
      <c r="S67" s="66"/>
      <c r="T67" s="65"/>
      <c r="U67" s="5"/>
      <c r="V67" s="26" t="str" cm="1">
        <f t="array" ref="V67">IFERROR(_xlfn.IFS(O67="F2",U67/K67,O67="F23",U67/L67,O67="F234",U67/M67,O67="F3",U67/L67,O67="F34",U67/M67,O67="F234손절",U67/K67,O67="F2345손절",U67/K67,O67="F34손절",U67/L67,O67="F345손절",U67/L67)-1,"")</f>
        <v/>
      </c>
      <c r="Z67" s="48"/>
      <c r="AB67" s="48"/>
      <c r="AC67" s="34"/>
    </row>
    <row r="68" spans="1:29">
      <c r="A68" s="36" t="s">
        <v>82</v>
      </c>
      <c r="B68" s="5">
        <v>3910</v>
      </c>
      <c r="C68" s="5">
        <f t="shared" si="7"/>
        <v>141.84397163120568</v>
      </c>
      <c r="D68" s="5">
        <v>3525</v>
      </c>
      <c r="E68" s="64">
        <f t="shared" si="14"/>
        <v>-9.8465473145780025E-2</v>
      </c>
      <c r="F68" s="7">
        <v>2980</v>
      </c>
      <c r="G68" s="5">
        <v>4075</v>
      </c>
      <c r="H68" s="67">
        <v>45110</v>
      </c>
      <c r="I68" s="47" t="s">
        <v>31</v>
      </c>
      <c r="J68" s="4">
        <f t="shared" si="15"/>
        <v>0.3674496644295302</v>
      </c>
      <c r="K68" s="63">
        <f t="shared" si="13"/>
        <v>3672</v>
      </c>
      <c r="L68" s="63">
        <f t="shared" si="16"/>
        <v>3528</v>
      </c>
      <c r="M68" s="5">
        <f t="shared" si="17"/>
        <v>3383</v>
      </c>
      <c r="N68" s="5">
        <f t="shared" si="18"/>
        <v>3214</v>
      </c>
      <c r="O68" s="9"/>
      <c r="P68" s="65"/>
      <c r="Q68" s="66"/>
      <c r="R68" s="43"/>
      <c r="S68" s="65"/>
      <c r="T68" s="65"/>
      <c r="U68" s="5"/>
      <c r="V68" s="26" t="str" cm="1">
        <f t="array" ref="V68">IFERROR(_xlfn.IFS(O68="F2",U68/K68,O68="F23",U68/L68,O68="F234",U68/M68,O68="F3",U68/L68,O68="F34",U68/M68,O68="F234손절",U68/K68,O68="F2345손절",U68/K68,O68="F34손절",U68/L68,O68="F345손절",U68/L68)-1,"")</f>
        <v/>
      </c>
      <c r="Z68" s="48"/>
      <c r="AB68" s="48"/>
      <c r="AC68" s="34"/>
    </row>
    <row r="69" spans="1:29">
      <c r="A69" s="36" t="s">
        <v>83</v>
      </c>
      <c r="B69" s="5">
        <v>5550</v>
      </c>
      <c r="C69" s="5" t="str">
        <f t="shared" si="7"/>
        <v/>
      </c>
      <c r="D69" s="5"/>
      <c r="E69" s="64">
        <f t="shared" si="14"/>
        <v>-1</v>
      </c>
      <c r="F69" s="7"/>
      <c r="G69" s="5"/>
      <c r="H69" s="65"/>
      <c r="I69" s="9"/>
      <c r="J69" s="4" t="str">
        <f t="shared" si="15"/>
        <v/>
      </c>
      <c r="K69" s="5">
        <f t="shared" si="13"/>
        <v>0</v>
      </c>
      <c r="L69" s="5">
        <f t="shared" si="16"/>
        <v>0</v>
      </c>
      <c r="M69" s="5">
        <f t="shared" si="17"/>
        <v>0</v>
      </c>
      <c r="N69" s="5">
        <f t="shared" si="18"/>
        <v>0</v>
      </c>
      <c r="O69" s="9"/>
      <c r="P69" s="65"/>
      <c r="Q69" s="66"/>
      <c r="R69" s="43"/>
      <c r="S69" s="65"/>
      <c r="T69" s="65"/>
      <c r="U69" s="5"/>
      <c r="V69" s="26" t="str" cm="1">
        <f t="array" ref="V69">IFERROR(_xlfn.IFS(O69="F2",U69/K69,O69="F23",U69/L69,O69="F234",U69/M69,O69="F3",U69/L69,O69="F34",U69/M69,O69="F234손절",U69/K69,O69="F2345손절",U69/K69,O69="F34손절",U69/L69,O69="F345손절",U69/L69)-1,"")</f>
        <v/>
      </c>
      <c r="Z69" s="48"/>
      <c r="AB69" s="48"/>
      <c r="AC69" s="34"/>
    </row>
    <row r="70" spans="1:29">
      <c r="A70" s="36" t="s">
        <v>84</v>
      </c>
      <c r="B70" s="5">
        <v>7160</v>
      </c>
      <c r="C70" s="5" t="str">
        <f t="shared" si="7"/>
        <v/>
      </c>
      <c r="D70" s="5"/>
      <c r="E70" s="64">
        <f t="shared" si="14"/>
        <v>-1</v>
      </c>
      <c r="F70" s="7"/>
      <c r="G70" s="5"/>
      <c r="H70" s="65"/>
      <c r="I70" s="9"/>
      <c r="J70" s="4" t="str">
        <f t="shared" si="15"/>
        <v/>
      </c>
      <c r="K70" s="5">
        <f t="shared" si="13"/>
        <v>0</v>
      </c>
      <c r="L70" s="5">
        <f t="shared" si="16"/>
        <v>0</v>
      </c>
      <c r="M70" s="5">
        <f t="shared" si="17"/>
        <v>0</v>
      </c>
      <c r="N70" s="5">
        <f t="shared" si="18"/>
        <v>0</v>
      </c>
      <c r="O70" s="9"/>
      <c r="P70" s="65"/>
      <c r="Q70" s="66"/>
      <c r="R70" s="43"/>
      <c r="S70" s="66"/>
      <c r="T70" s="65"/>
      <c r="U70" s="5"/>
      <c r="V70" s="26" t="str" cm="1">
        <f t="array" ref="V70">IFERROR(_xlfn.IFS(O70="F2",U70/K70,O70="F23",U70/L70,O70="F234",U70/M70,O70="F3",U70/L70,O70="F34",U70/M70,O70="F234손절",U70/K70,O70="F2345손절",U70/K70,O70="F34손절",U70/L70,O70="F345손절",U70/L70)-1,"")</f>
        <v/>
      </c>
      <c r="Z70" s="48"/>
      <c r="AB70" s="48"/>
      <c r="AC70" s="34"/>
    </row>
    <row r="71" spans="1:29">
      <c r="A71" s="36" t="s">
        <v>85</v>
      </c>
      <c r="B71" s="5">
        <v>2605</v>
      </c>
      <c r="C71" s="5" t="str">
        <f t="shared" si="7"/>
        <v/>
      </c>
      <c r="D71" s="5"/>
      <c r="E71" s="64">
        <f t="shared" si="14"/>
        <v>-1</v>
      </c>
      <c r="F71" s="7"/>
      <c r="G71" s="5"/>
      <c r="H71" s="65"/>
      <c r="I71" s="9"/>
      <c r="J71" s="4" t="str">
        <f t="shared" si="15"/>
        <v/>
      </c>
      <c r="K71" s="5">
        <f t="shared" si="13"/>
        <v>0</v>
      </c>
      <c r="L71" s="5">
        <f t="shared" si="16"/>
        <v>0</v>
      </c>
      <c r="M71" s="5">
        <f t="shared" si="17"/>
        <v>0</v>
      </c>
      <c r="N71" s="5">
        <f t="shared" si="18"/>
        <v>0</v>
      </c>
      <c r="O71" s="9"/>
      <c r="P71" s="65"/>
      <c r="Q71" s="66"/>
      <c r="R71" s="43"/>
      <c r="S71" s="65"/>
      <c r="T71" s="65"/>
      <c r="U71" s="5"/>
      <c r="V71" s="26" t="str" cm="1">
        <f t="array" ref="V71">IFERROR(_xlfn.IFS(O71="F2",U71/K71,O71="F23",U71/L71,O71="F234",U71/M71,O71="F3",U71/L71,O71="F34",U71/M71,O71="F234손절",U71/K71,O71="F2345손절",U71/K71,O71="F34손절",U71/L71,O71="F345손절",U71/L71)-1,"")</f>
        <v/>
      </c>
      <c r="Z71" s="48"/>
      <c r="AB71" s="48"/>
      <c r="AC71" s="34"/>
    </row>
    <row r="72" spans="1:29">
      <c r="A72" s="36"/>
      <c r="B72" s="5"/>
      <c r="C72" s="5" t="str">
        <f t="shared" ref="C72:C99" si="19">IFERROR($X$1*10000/D72,"")</f>
        <v/>
      </c>
      <c r="D72" s="5"/>
      <c r="E72" s="64" t="str">
        <f t="shared" si="14"/>
        <v/>
      </c>
      <c r="F72" s="7"/>
      <c r="G72" s="5"/>
      <c r="H72" s="65"/>
      <c r="I72" s="9"/>
      <c r="J72" s="4" t="str">
        <f t="shared" si="15"/>
        <v/>
      </c>
      <c r="K72" s="5">
        <f t="shared" si="13"/>
        <v>0</v>
      </c>
      <c r="L72" s="5">
        <f t="shared" si="16"/>
        <v>0</v>
      </c>
      <c r="M72" s="5">
        <f t="shared" si="17"/>
        <v>0</v>
      </c>
      <c r="N72" s="5">
        <f t="shared" si="18"/>
        <v>0</v>
      </c>
      <c r="O72" s="9"/>
      <c r="P72" s="65"/>
      <c r="Q72" s="66"/>
      <c r="R72" s="43"/>
      <c r="S72" s="65"/>
      <c r="T72" s="65"/>
      <c r="U72" s="5"/>
      <c r="V72" s="26" t="str" cm="1">
        <f t="array" ref="V72">IFERROR(_xlfn.IFS(O72="F2",U72/K72,O72="F23",U72/L72,O72="F234",U72/M72,O72="F3",U72/L72,O72="F34",U72/M72,O72="F234손절",U72/K72,O72="F2345손절",U72/K72,O72="F34손절",U72/L72,O72="F345손절",U72/L72)-1,"")</f>
        <v/>
      </c>
    </row>
    <row r="73" spans="1:29">
      <c r="A73" s="36" t="s">
        <v>86</v>
      </c>
      <c r="B73" s="5">
        <v>16060</v>
      </c>
      <c r="C73" s="5" t="str">
        <f t="shared" si="19"/>
        <v/>
      </c>
      <c r="D73" s="5"/>
      <c r="E73" s="64">
        <f t="shared" si="14"/>
        <v>-1</v>
      </c>
      <c r="F73" s="7"/>
      <c r="G73" s="5"/>
      <c r="H73" s="65"/>
      <c r="I73" s="9"/>
      <c r="J73" s="4" t="str">
        <f t="shared" si="15"/>
        <v/>
      </c>
      <c r="K73" s="5">
        <f t="shared" si="13"/>
        <v>0</v>
      </c>
      <c r="L73" s="5">
        <f t="shared" si="16"/>
        <v>0</v>
      </c>
      <c r="M73" s="5">
        <f t="shared" si="17"/>
        <v>0</v>
      </c>
      <c r="N73" s="5">
        <f t="shared" si="18"/>
        <v>0</v>
      </c>
      <c r="O73" s="9"/>
      <c r="P73" s="65"/>
      <c r="Q73" s="66"/>
      <c r="R73" s="43"/>
      <c r="S73" s="66"/>
      <c r="T73" s="65"/>
      <c r="U73" s="5"/>
      <c r="V73" s="26" t="str" cm="1">
        <f t="array" ref="V73">IFERROR(_xlfn.IFS(O73="F2",U73/K73,O73="F23",U73/L73,O73="F234",U73/M73,O73="F3",U73/L73,O73="F34",U73/M73,O73="F234손절",U73/K73,O73="F2345손절",U73/K73,O73="F34손절",U73/L73,O73="F345손절",U73/L73)-1,"")</f>
        <v/>
      </c>
      <c r="Z73" s="48"/>
      <c r="AB73" s="48"/>
      <c r="AC73" s="34"/>
    </row>
    <row r="74" spans="1:29">
      <c r="A74" s="36" t="s">
        <v>87</v>
      </c>
      <c r="B74" s="5">
        <v>10210</v>
      </c>
      <c r="C74" s="5" t="str">
        <f t="shared" si="19"/>
        <v/>
      </c>
      <c r="D74" s="5"/>
      <c r="E74" s="64">
        <f t="shared" si="14"/>
        <v>-1</v>
      </c>
      <c r="F74" s="7"/>
      <c r="G74" s="5"/>
      <c r="H74" s="65"/>
      <c r="I74" s="9"/>
      <c r="J74" s="4" t="str">
        <f t="shared" si="15"/>
        <v/>
      </c>
      <c r="K74" s="5">
        <f xml:space="preserve"> COUNTIFS('F series'!T83:T96,#REF!, 'F series'!O83:O96,#REF!)</f>
        <v>0</v>
      </c>
      <c r="L74" s="5">
        <f t="shared" si="16"/>
        <v>0</v>
      </c>
      <c r="M74" s="5">
        <f t="shared" si="17"/>
        <v>0</v>
      </c>
      <c r="N74" s="5">
        <f t="shared" si="18"/>
        <v>0</v>
      </c>
      <c r="O74" s="9"/>
      <c r="P74" s="65"/>
      <c r="Q74" s="66"/>
      <c r="R74" s="43"/>
      <c r="S74" s="65"/>
      <c r="T74" s="65"/>
      <c r="U74" s="5"/>
      <c r="V74" s="26" t="str" cm="1">
        <f t="array" ref="V74">IFERROR(_xlfn.IFS(O74="F2",U74/K74,O74="F23",U74/L74,O74="F234",U74/M74,O74="F3",U74/L74,O74="F34",U74/M74,O74="F234손절",U74/K74,O74="F2345손절",U74/K74,O74="F34손절",U74/L74,O74="F345손절",U74/L74)-1,"")</f>
        <v/>
      </c>
      <c r="Z74" s="48"/>
      <c r="AB74" s="48"/>
      <c r="AC74" s="34"/>
    </row>
    <row r="75" spans="1:29">
      <c r="A75" s="36" t="s">
        <v>88</v>
      </c>
      <c r="B75" s="5">
        <v>2505</v>
      </c>
      <c r="C75" s="5" t="str">
        <f t="shared" si="19"/>
        <v/>
      </c>
      <c r="D75" s="5"/>
      <c r="E75" s="64">
        <f t="shared" si="14"/>
        <v>-1</v>
      </c>
      <c r="F75" s="7"/>
      <c r="G75" s="5"/>
      <c r="H75" s="65"/>
      <c r="I75" s="9"/>
      <c r="J75" s="4" t="str">
        <f t="shared" si="15"/>
        <v/>
      </c>
      <c r="K75" s="5">
        <f t="shared" ref="K75:K81" si="20">IFERROR(ROUND($F75+($G75-$F75)*0.632,0),"")</f>
        <v>0</v>
      </c>
      <c r="L75" s="5">
        <f t="shared" si="16"/>
        <v>0</v>
      </c>
      <c r="M75" s="5">
        <f t="shared" si="17"/>
        <v>0</v>
      </c>
      <c r="N75" s="5">
        <f t="shared" si="18"/>
        <v>0</v>
      </c>
      <c r="O75" s="9"/>
      <c r="P75" s="65"/>
      <c r="Q75" s="66"/>
      <c r="R75" s="43"/>
      <c r="S75" s="66"/>
      <c r="T75" s="65"/>
      <c r="U75" s="5"/>
      <c r="V75" s="26" t="str" cm="1">
        <f t="array" ref="V75">IFERROR(_xlfn.IFS(O75="F2",U75/K75,O75="F23",U75/L75,O75="F234",U75/M75,O75="F3",U75/L75,O75="F34",U75/M75,O75="F234손절",U75/K75,O75="F2345손절",U75/K75,O75="F34손절",U75/L75,O75="F345손절",U75/L75)-1,"")</f>
        <v/>
      </c>
      <c r="Z75" s="48"/>
      <c r="AB75" s="48"/>
      <c r="AC75" s="34"/>
    </row>
    <row r="76" spans="1:29">
      <c r="A76" s="36" t="s">
        <v>89</v>
      </c>
      <c r="B76" s="5">
        <v>14860</v>
      </c>
      <c r="C76" s="5" t="str">
        <f t="shared" si="19"/>
        <v/>
      </c>
      <c r="D76" s="5"/>
      <c r="E76" s="64">
        <f t="shared" si="14"/>
        <v>-1</v>
      </c>
      <c r="F76" s="7"/>
      <c r="G76" s="5"/>
      <c r="H76" s="65"/>
      <c r="I76" s="9"/>
      <c r="J76" s="4" t="str">
        <f t="shared" si="15"/>
        <v/>
      </c>
      <c r="K76" s="5">
        <f t="shared" si="20"/>
        <v>0</v>
      </c>
      <c r="L76" s="5">
        <f t="shared" si="16"/>
        <v>0</v>
      </c>
      <c r="M76" s="5">
        <f t="shared" si="17"/>
        <v>0</v>
      </c>
      <c r="N76" s="5">
        <f t="shared" si="18"/>
        <v>0</v>
      </c>
      <c r="O76" s="9"/>
      <c r="P76" s="65"/>
      <c r="Q76" s="66"/>
      <c r="R76" s="43"/>
      <c r="S76" s="65"/>
      <c r="T76" s="65"/>
      <c r="U76" s="5"/>
      <c r="V76" s="26" t="str" cm="1">
        <f t="array" ref="V76">IFERROR(_xlfn.IFS(O76="F2",U76/K76,O76="F23",U76/L76,O76="F234",U76/M76,O76="F3",U76/L76,O76="F34",U76/M76,O76="F234손절",U76/K76,O76="F2345손절",U76/K76,O76="F34손절",U76/L76,O76="F345손절",U76/L76)-1,"")</f>
        <v/>
      </c>
      <c r="Z76" s="48"/>
      <c r="AB76" s="48"/>
      <c r="AC76" s="34"/>
    </row>
    <row r="77" spans="1:29">
      <c r="A77" s="36"/>
      <c r="B77" s="5"/>
      <c r="C77" s="5" t="str">
        <f t="shared" si="19"/>
        <v/>
      </c>
      <c r="D77" s="5"/>
      <c r="E77" s="64" t="str">
        <f t="shared" si="14"/>
        <v/>
      </c>
      <c r="F77" s="7"/>
      <c r="G77" s="5"/>
      <c r="H77" s="65"/>
      <c r="I77" s="9"/>
      <c r="J77" s="4" t="str">
        <f t="shared" si="15"/>
        <v/>
      </c>
      <c r="K77" s="5">
        <f t="shared" si="20"/>
        <v>0</v>
      </c>
      <c r="L77" s="5">
        <f t="shared" si="16"/>
        <v>0</v>
      </c>
      <c r="M77" s="5">
        <f t="shared" si="17"/>
        <v>0</v>
      </c>
      <c r="N77" s="5">
        <f t="shared" si="18"/>
        <v>0</v>
      </c>
      <c r="O77" s="9"/>
      <c r="P77" s="65"/>
      <c r="Q77" s="66"/>
      <c r="R77" s="43"/>
      <c r="S77" s="65"/>
      <c r="T77" s="65"/>
      <c r="U77" s="5"/>
      <c r="V77" s="26" t="str" cm="1">
        <f t="array" ref="V77">IFERROR(_xlfn.IFS(O77="F2",U77/K77,O77="F23",U77/L77,O77="F234",U77/M77,O77="F3",U77/L77,O77="F34",U77/M77,O77="F234손절",U77/K77,O77="F2345손절",U77/K77,O77="F34손절",U77/L77,O77="F345손절",U77/L77)-1,"")</f>
        <v/>
      </c>
    </row>
    <row r="78" spans="1:29">
      <c r="A78" s="36" t="s">
        <v>90</v>
      </c>
      <c r="B78" s="5">
        <v>4210</v>
      </c>
      <c r="C78" s="5" t="str">
        <f t="shared" si="19"/>
        <v/>
      </c>
      <c r="D78" s="5"/>
      <c r="E78" s="64">
        <f t="shared" si="14"/>
        <v>-1</v>
      </c>
      <c r="F78" s="7"/>
      <c r="G78" s="5"/>
      <c r="H78" s="65"/>
      <c r="I78" s="9"/>
      <c r="J78" s="4" t="str">
        <f t="shared" si="15"/>
        <v/>
      </c>
      <c r="K78" s="5">
        <f t="shared" si="20"/>
        <v>0</v>
      </c>
      <c r="L78" s="5">
        <f t="shared" si="16"/>
        <v>0</v>
      </c>
      <c r="M78" s="5">
        <f t="shared" si="17"/>
        <v>0</v>
      </c>
      <c r="N78" s="5">
        <f t="shared" si="18"/>
        <v>0</v>
      </c>
      <c r="O78" s="9"/>
      <c r="P78" s="65"/>
      <c r="Q78" s="66"/>
      <c r="R78" s="43"/>
      <c r="S78" s="66"/>
      <c r="T78" s="65"/>
      <c r="U78" s="5"/>
      <c r="V78" s="26" t="str" cm="1">
        <f t="array" ref="V78">IFERROR(_xlfn.IFS(O78="F2",U78/K78,O78="F23",U78/L78,O78="F234",U78/M78,O78="F3",U78/L78,O78="F34",U78/M78,O78="F234손절",U78/K78,O78="F2345손절",U78/K78,O78="F34손절",U78/L78,O78="F345손절",U78/L78)-1,"")</f>
        <v/>
      </c>
      <c r="Z78" s="48"/>
      <c r="AB78" s="48"/>
      <c r="AC78" s="34"/>
    </row>
    <row r="79" spans="1:29">
      <c r="A79" s="36" t="s">
        <v>91</v>
      </c>
      <c r="B79" s="5">
        <v>12740</v>
      </c>
      <c r="C79" s="5" t="str">
        <f t="shared" si="19"/>
        <v/>
      </c>
      <c r="D79" s="5"/>
      <c r="E79" s="64">
        <f t="shared" si="14"/>
        <v>-1</v>
      </c>
      <c r="F79" s="7"/>
      <c r="G79" s="5"/>
      <c r="H79" s="65"/>
      <c r="I79" s="9"/>
      <c r="J79" s="4" t="str">
        <f t="shared" si="15"/>
        <v/>
      </c>
      <c r="K79" s="5">
        <f t="shared" si="20"/>
        <v>0</v>
      </c>
      <c r="L79" s="5">
        <f t="shared" si="16"/>
        <v>0</v>
      </c>
      <c r="M79" s="5">
        <f t="shared" si="17"/>
        <v>0</v>
      </c>
      <c r="N79" s="5">
        <f t="shared" si="18"/>
        <v>0</v>
      </c>
      <c r="O79" s="9"/>
      <c r="P79" s="65"/>
      <c r="Q79" s="66"/>
      <c r="R79" s="43"/>
      <c r="S79" s="65"/>
      <c r="T79" s="65"/>
      <c r="U79" s="5"/>
      <c r="V79" s="26" t="str" cm="1">
        <f t="array" ref="V79">IFERROR(_xlfn.IFS(O79="F2",U79/K79,O79="F23",U79/L79,O79="F234",U79/M79,O79="F3",U79/L79,O79="F34",U79/M79,O79="F234손절",U79/K79,O79="F2345손절",U79/K79,O79="F34손절",U79/L79,O79="F345손절",U79/L79)-1,"")</f>
        <v/>
      </c>
      <c r="Z79" s="48"/>
      <c r="AB79" s="48"/>
      <c r="AC79" s="34"/>
    </row>
    <row r="80" spans="1:29">
      <c r="A80" s="36"/>
      <c r="B80" s="5"/>
      <c r="C80" s="5" t="str">
        <f t="shared" si="19"/>
        <v/>
      </c>
      <c r="D80" s="5"/>
      <c r="E80" s="64" t="str">
        <f t="shared" si="14"/>
        <v/>
      </c>
      <c r="F80" s="7"/>
      <c r="G80" s="5"/>
      <c r="H80" s="65"/>
      <c r="I80" s="9"/>
      <c r="J80" s="4" t="str">
        <f t="shared" si="15"/>
        <v/>
      </c>
      <c r="K80" s="5">
        <f t="shared" si="20"/>
        <v>0</v>
      </c>
      <c r="L80" s="5">
        <f t="shared" si="16"/>
        <v>0</v>
      </c>
      <c r="M80" s="5">
        <f t="shared" si="17"/>
        <v>0</v>
      </c>
      <c r="N80" s="5">
        <f t="shared" si="18"/>
        <v>0</v>
      </c>
      <c r="O80" s="9"/>
      <c r="P80" s="65"/>
      <c r="Q80" s="66"/>
      <c r="R80" s="43"/>
      <c r="S80" s="65"/>
      <c r="T80" s="65"/>
      <c r="U80" s="5"/>
      <c r="V80" s="26" t="str" cm="1">
        <f t="array" ref="V80">IFERROR(_xlfn.IFS(O80="F2",U80/K80,O80="F23",U80/L80,O80="F234",U80/M80,O80="F3",U80/L80,O80="F34",U80/M80,O80="F234손절",U80/K80,O80="F2345손절",U80/K80,O80="F34손절",U80/L80,O80="F345손절",U80/L80)-1,"")</f>
        <v/>
      </c>
    </row>
    <row r="81" spans="1:29">
      <c r="A81" s="36" t="s">
        <v>92</v>
      </c>
      <c r="B81" s="5">
        <v>6730</v>
      </c>
      <c r="C81" s="5" t="str">
        <f t="shared" si="19"/>
        <v/>
      </c>
      <c r="D81" s="5"/>
      <c r="E81" s="64">
        <f t="shared" si="14"/>
        <v>-1</v>
      </c>
      <c r="F81" s="7">
        <v>5810</v>
      </c>
      <c r="G81" s="5">
        <v>9010</v>
      </c>
      <c r="H81" s="67">
        <v>45105</v>
      </c>
      <c r="I81" s="47" t="s">
        <v>29</v>
      </c>
      <c r="J81" s="4">
        <f t="shared" si="15"/>
        <v>0.5507745266781412</v>
      </c>
      <c r="K81" s="5">
        <f t="shared" si="20"/>
        <v>7832</v>
      </c>
      <c r="L81" s="5">
        <f t="shared" si="16"/>
        <v>7410</v>
      </c>
      <c r="M81" s="5">
        <f t="shared" si="17"/>
        <v>6988</v>
      </c>
      <c r="N81" s="5">
        <f t="shared" si="18"/>
        <v>6495</v>
      </c>
      <c r="O81" s="9"/>
      <c r="P81" s="65"/>
      <c r="Q81" s="69" t="s">
        <v>45</v>
      </c>
      <c r="R81" s="45" t="s">
        <v>27</v>
      </c>
      <c r="S81" s="66"/>
      <c r="T81" s="65"/>
      <c r="U81" s="5"/>
      <c r="V81" s="26" t="str" cm="1">
        <f t="array" ref="V81">IFERROR(_xlfn.IFS(O81="F2",U81/K81,O81="F23",U81/L81,O81="F234",U81/M81,O81="F3",U81/L81,O81="F34",U81/M81,O81="F234손절",U81/K81,O81="F2345손절",U81/K81,O81="F34손절",U81/L81,O81="F345손절",U81/L81)-1,"")</f>
        <v/>
      </c>
      <c r="Z81" s="48"/>
      <c r="AB81" s="48"/>
      <c r="AC81" s="34"/>
    </row>
    <row r="82" spans="1:29">
      <c r="A82" s="36" t="s">
        <v>93</v>
      </c>
      <c r="B82" s="5">
        <v>5600</v>
      </c>
      <c r="C82" s="5" t="str">
        <f t="shared" si="19"/>
        <v/>
      </c>
      <c r="D82" s="5"/>
      <c r="E82" s="64">
        <f t="shared" si="14"/>
        <v>-1</v>
      </c>
      <c r="F82" s="7"/>
      <c r="G82" s="5"/>
      <c r="H82" s="65"/>
      <c r="I82" s="9"/>
      <c r="J82" s="4" t="str">
        <f t="shared" si="15"/>
        <v/>
      </c>
      <c r="K82" s="5">
        <f xml:space="preserve"> COUNTIFS('F series'!T90:T96,#REF!, 'F series'!O90:O96,#REF!)</f>
        <v>0</v>
      </c>
      <c r="L82" s="5">
        <f t="shared" si="16"/>
        <v>0</v>
      </c>
      <c r="M82" s="5">
        <f t="shared" si="17"/>
        <v>0</v>
      </c>
      <c r="N82" s="5">
        <f t="shared" si="18"/>
        <v>0</v>
      </c>
      <c r="O82" s="9"/>
      <c r="P82" s="65"/>
      <c r="Q82" s="66"/>
      <c r="R82" s="43"/>
      <c r="S82" s="65"/>
      <c r="T82" s="65"/>
      <c r="U82" s="5"/>
      <c r="V82" s="26" t="str" cm="1">
        <f t="array" ref="V82">IFERROR(_xlfn.IFS(O82="F2",U82/K82,O82="F23",U82/L82,O82="F234",U82/M82,O82="F3",U82/L82,O82="F34",U82/M82,O82="F234손절",U82/K82,O82="F2345손절",U82/K82,O82="F34손절",U82/L82,O82="F345손절",U82/L82)-1,"")</f>
        <v/>
      </c>
      <c r="Z82" s="48"/>
      <c r="AB82" s="48"/>
      <c r="AC82" s="34"/>
    </row>
    <row r="83" spans="1:29">
      <c r="A83" s="36"/>
      <c r="B83" s="5"/>
      <c r="C83" s="5" t="str">
        <f t="shared" si="19"/>
        <v/>
      </c>
      <c r="D83" s="5"/>
      <c r="E83" s="64" t="str">
        <f t="shared" si="14"/>
        <v/>
      </c>
      <c r="F83" s="7"/>
      <c r="G83" s="5"/>
      <c r="H83" s="65"/>
      <c r="I83" s="9"/>
      <c r="J83" s="4" t="str">
        <f t="shared" si="15"/>
        <v/>
      </c>
      <c r="K83" s="5">
        <f t="shared" ref="K83:K88" si="21">IFERROR(ROUND($F83+($G83-$F83)*0.632,0),"")</f>
        <v>0</v>
      </c>
      <c r="L83" s="5">
        <f t="shared" si="16"/>
        <v>0</v>
      </c>
      <c r="M83" s="5">
        <f t="shared" si="17"/>
        <v>0</v>
      </c>
      <c r="N83" s="5">
        <f t="shared" si="18"/>
        <v>0</v>
      </c>
      <c r="O83" s="9"/>
      <c r="P83" s="65"/>
      <c r="Q83" s="66"/>
      <c r="R83" s="43"/>
      <c r="S83" s="66"/>
      <c r="T83" s="65"/>
      <c r="U83" s="5"/>
      <c r="V83" s="26" t="str" cm="1">
        <f t="array" ref="V83">IFERROR(_xlfn.IFS(O83="F2",U83/K83,O83="F23",U83/L83,O83="F234",U83/M83,O83="F3",U83/L83,O83="F34",U83/M83,O83="F234손절",U83/K83,O83="F2345손절",U83/K83,O83="F34손절",U83/L83,O83="F345손절",U83/L83)-1,"")</f>
        <v/>
      </c>
    </row>
    <row r="84" spans="1:29">
      <c r="A84" s="36" t="s">
        <v>94</v>
      </c>
      <c r="B84" s="5">
        <v>17690</v>
      </c>
      <c r="C84" s="5" t="str">
        <f t="shared" si="19"/>
        <v/>
      </c>
      <c r="D84" s="5"/>
      <c r="E84" s="64">
        <f t="shared" si="14"/>
        <v>-1</v>
      </c>
      <c r="F84" s="7"/>
      <c r="G84" s="5"/>
      <c r="H84" s="65"/>
      <c r="I84" s="9"/>
      <c r="J84" s="4" t="str">
        <f t="shared" si="15"/>
        <v/>
      </c>
      <c r="K84" s="5">
        <f t="shared" si="21"/>
        <v>0</v>
      </c>
      <c r="L84" s="5">
        <f t="shared" si="16"/>
        <v>0</v>
      </c>
      <c r="M84" s="5">
        <f t="shared" si="17"/>
        <v>0</v>
      </c>
      <c r="N84" s="5">
        <f t="shared" si="18"/>
        <v>0</v>
      </c>
      <c r="O84" s="9"/>
      <c r="P84" s="65"/>
      <c r="Q84" s="66"/>
      <c r="R84" s="43"/>
      <c r="S84" s="65"/>
      <c r="T84" s="65"/>
      <c r="U84" s="5"/>
      <c r="V84" s="26" t="str" cm="1">
        <f t="array" ref="V84">IFERROR(_xlfn.IFS(O84="F2",U84/K84,O84="F23",U84/L84,O84="F234",U84/M84,O84="F3",U84/L84,O84="F34",U84/M84,O84="F234손절",U84/K84,O84="F2345손절",U84/K84,O84="F34손절",U84/L84,O84="F345손절",U84/L84)-1,"")</f>
        <v/>
      </c>
      <c r="Z84" s="48"/>
      <c r="AB84" s="48"/>
      <c r="AC84" s="34"/>
    </row>
    <row r="85" spans="1:29">
      <c r="A85" s="36" t="s">
        <v>95</v>
      </c>
      <c r="B85" s="5">
        <v>8200</v>
      </c>
      <c r="C85" s="5" t="str">
        <f t="shared" si="19"/>
        <v/>
      </c>
      <c r="D85" s="5"/>
      <c r="E85" s="64">
        <f t="shared" si="14"/>
        <v>-1</v>
      </c>
      <c r="F85" s="7">
        <v>6810</v>
      </c>
      <c r="G85" s="5" t="s">
        <v>80</v>
      </c>
      <c r="H85" s="65"/>
      <c r="I85" s="9"/>
      <c r="J85" s="4" t="str">
        <f t="shared" si="15"/>
        <v/>
      </c>
      <c r="K85" s="5" t="str">
        <f t="shared" si="21"/>
        <v/>
      </c>
      <c r="L85" s="5" t="str">
        <f t="shared" si="16"/>
        <v/>
      </c>
      <c r="M85" s="5" t="str">
        <f t="shared" si="17"/>
        <v/>
      </c>
      <c r="N85" s="5" t="str">
        <f t="shared" si="18"/>
        <v/>
      </c>
      <c r="O85" s="9"/>
      <c r="P85" s="65"/>
      <c r="Q85" s="66"/>
      <c r="R85" s="43"/>
      <c r="S85" s="65"/>
      <c r="T85" s="65"/>
      <c r="U85" s="5"/>
      <c r="V85" s="26" t="str" cm="1">
        <f t="array" ref="V85">IFERROR(_xlfn.IFS(O85="F2",U85/K85,O85="F23",U85/L85,O85="F234",U85/M85,O85="F3",U85/L85,O85="F34",U85/M85,O85="F234손절",U85/K85,O85="F2345손절",U85/K85,O85="F34손절",U85/L85,O85="F345손절",U85/L85)-1,"")</f>
        <v/>
      </c>
      <c r="Z85" s="48"/>
      <c r="AB85" s="48"/>
      <c r="AC85" s="34"/>
    </row>
    <row r="86" spans="1:29">
      <c r="A86" s="36" t="s">
        <v>96</v>
      </c>
      <c r="B86" s="5">
        <v>4885</v>
      </c>
      <c r="C86" s="5" t="str">
        <f t="shared" si="19"/>
        <v/>
      </c>
      <c r="D86" s="5"/>
      <c r="E86" s="64">
        <f t="shared" si="14"/>
        <v>-1</v>
      </c>
      <c r="F86" s="7"/>
      <c r="G86" s="5"/>
      <c r="H86" s="65"/>
      <c r="I86" s="9"/>
      <c r="J86" s="4" t="str">
        <f t="shared" si="15"/>
        <v/>
      </c>
      <c r="K86" s="5">
        <f t="shared" si="21"/>
        <v>0</v>
      </c>
      <c r="L86" s="5">
        <f t="shared" si="16"/>
        <v>0</v>
      </c>
      <c r="M86" s="5">
        <f t="shared" si="17"/>
        <v>0</v>
      </c>
      <c r="N86" s="5">
        <f t="shared" si="18"/>
        <v>0</v>
      </c>
      <c r="O86" s="9"/>
      <c r="P86" s="65"/>
      <c r="Q86" s="66"/>
      <c r="R86" s="43"/>
      <c r="S86" s="66"/>
      <c r="T86" s="65"/>
      <c r="U86" s="5"/>
      <c r="V86" s="26" t="str" cm="1">
        <f t="array" ref="V86">IFERROR(_xlfn.IFS(O86="F2",U86/K86,O86="F23",U86/L86,O86="F234",U86/M86,O86="F3",U86/L86,O86="F34",U86/M86,O86="F234손절",U86/K86,O86="F2345손절",U86/K86,O86="F34손절",U86/L86,O86="F345손절",U86/L86)-1,"")</f>
        <v/>
      </c>
      <c r="Z86" s="48"/>
      <c r="AB86" s="48"/>
      <c r="AC86" s="34"/>
    </row>
    <row r="87" spans="1:29">
      <c r="A87" s="36" t="s">
        <v>97</v>
      </c>
      <c r="B87" s="5">
        <v>14610</v>
      </c>
      <c r="C87" s="5">
        <f t="shared" si="19"/>
        <v>39.0625</v>
      </c>
      <c r="D87" s="5">
        <v>12800</v>
      </c>
      <c r="E87" s="64">
        <f t="shared" si="14"/>
        <v>-0.12388774811772763</v>
      </c>
      <c r="F87" s="7">
        <v>10170</v>
      </c>
      <c r="G87" s="5">
        <v>15430</v>
      </c>
      <c r="H87" s="67">
        <v>45103</v>
      </c>
      <c r="I87" s="47" t="s">
        <v>98</v>
      </c>
      <c r="J87" s="4">
        <f t="shared" si="15"/>
        <v>0.51720747295968539</v>
      </c>
      <c r="K87" s="63">
        <f t="shared" si="21"/>
        <v>13494</v>
      </c>
      <c r="L87" s="63">
        <f t="shared" si="16"/>
        <v>12800</v>
      </c>
      <c r="M87" s="5">
        <f t="shared" si="17"/>
        <v>12106</v>
      </c>
      <c r="N87" s="5">
        <f t="shared" si="18"/>
        <v>11296</v>
      </c>
      <c r="O87" s="9"/>
      <c r="P87" s="65"/>
      <c r="Q87" s="66"/>
      <c r="R87" s="43"/>
      <c r="S87" s="65"/>
      <c r="T87" s="65"/>
      <c r="U87" s="5"/>
      <c r="V87" s="26" t="str" cm="1">
        <f t="array" ref="V87">IFERROR(_xlfn.IFS(O87="F2",U87/K87,O87="F23",U87/L87,O87="F234",U87/M87,O87="F3",U87/L87,O87="F34",U87/M87,O87="F234손절",U87/K87,O87="F2345손절",U87/K87,O87="F34손절",U87/L87,O87="F345손절",U87/L87)-1,"")</f>
        <v/>
      </c>
      <c r="Z87" s="48"/>
      <c r="AB87" s="48"/>
      <c r="AC87" s="34"/>
    </row>
    <row r="88" spans="1:29">
      <c r="A88" s="36" t="s">
        <v>99</v>
      </c>
      <c r="B88" s="5">
        <v>15500</v>
      </c>
      <c r="C88" s="5" t="str">
        <f t="shared" si="19"/>
        <v/>
      </c>
      <c r="D88" s="5"/>
      <c r="E88" s="64">
        <f t="shared" si="14"/>
        <v>-1</v>
      </c>
      <c r="F88" s="7"/>
      <c r="G88" s="5"/>
      <c r="H88" s="65"/>
      <c r="I88" s="9"/>
      <c r="J88" s="4" t="str">
        <f t="shared" si="15"/>
        <v/>
      </c>
      <c r="K88" s="5">
        <f t="shared" si="21"/>
        <v>0</v>
      </c>
      <c r="L88" s="5">
        <f t="shared" si="16"/>
        <v>0</v>
      </c>
      <c r="M88" s="5">
        <f t="shared" si="17"/>
        <v>0</v>
      </c>
      <c r="N88" s="5">
        <f t="shared" si="18"/>
        <v>0</v>
      </c>
      <c r="O88" s="9"/>
      <c r="P88" s="65"/>
      <c r="Q88" s="66"/>
      <c r="R88" s="43"/>
      <c r="S88" s="66"/>
      <c r="T88" s="65"/>
      <c r="U88" s="5"/>
      <c r="V88" s="26" t="str" cm="1">
        <f t="array" ref="V88">IFERROR(_xlfn.IFS(O88="F2",U88/K88,O88="F23",U88/L88,O88="F234",U88/M88,O88="F3",U88/L88,O88="F34",U88/M88,O88="F234손절",U88/K88,O88="F2345손절",U88/K88,O88="F34손절",U88/L88,O88="F345손절",U88/L88)-1,"")</f>
        <v/>
      </c>
      <c r="Z88" s="48"/>
      <c r="AB88" s="48"/>
      <c r="AC88" s="34"/>
    </row>
    <row r="89" spans="1:29">
      <c r="A89" s="36" t="s">
        <v>100</v>
      </c>
      <c r="B89" s="5">
        <v>1827</v>
      </c>
      <c r="C89" s="5" t="str">
        <f t="shared" si="19"/>
        <v/>
      </c>
      <c r="D89" s="5"/>
      <c r="E89" s="64">
        <f t="shared" si="14"/>
        <v>-1</v>
      </c>
      <c r="F89" s="7"/>
      <c r="G89" s="5"/>
      <c r="H89" s="65"/>
      <c r="I89" s="9"/>
      <c r="J89" s="4" t="str">
        <f t="shared" si="15"/>
        <v/>
      </c>
      <c r="K89" s="5">
        <f xml:space="preserve"> COUNTIFS('F series'!T97:T97,#REF!, 'F series'!O97:O97,#REF!)</f>
        <v>0</v>
      </c>
      <c r="L89" s="5">
        <f t="shared" si="16"/>
        <v>0</v>
      </c>
      <c r="M89" s="5">
        <f t="shared" si="17"/>
        <v>0</v>
      </c>
      <c r="N89" s="5">
        <f t="shared" si="18"/>
        <v>0</v>
      </c>
      <c r="O89" s="9"/>
      <c r="P89" s="65"/>
      <c r="Q89" s="66"/>
      <c r="R89" s="43"/>
      <c r="S89" s="65"/>
      <c r="T89" s="65"/>
      <c r="U89" s="5"/>
      <c r="V89" s="26" t="str" cm="1">
        <f t="array" ref="V89">IFERROR(_xlfn.IFS(O89="F2",U89/K89,O89="F23",U89/L89,O89="F234",U89/M89,O89="F3",U89/L89,O89="F34",U89/M89,O89="F234손절",U89/K89,O89="F2345손절",U89/K89,O89="F34손절",U89/L89,O89="F345손절",U89/L89)-1,"")</f>
        <v/>
      </c>
      <c r="Z89" s="48"/>
      <c r="AB89" s="48"/>
      <c r="AC89" s="34"/>
    </row>
    <row r="90" spans="1:29">
      <c r="A90" s="36" t="s">
        <v>101</v>
      </c>
      <c r="B90" s="5">
        <v>19200</v>
      </c>
      <c r="C90" s="5" t="str">
        <f t="shared" si="19"/>
        <v/>
      </c>
      <c r="D90" s="5"/>
      <c r="E90" s="64">
        <f t="shared" si="14"/>
        <v>-1</v>
      </c>
      <c r="F90" s="7"/>
      <c r="G90" s="5"/>
      <c r="H90" s="65"/>
      <c r="I90" s="9"/>
      <c r="J90" s="4" t="str">
        <f t="shared" si="15"/>
        <v/>
      </c>
      <c r="K90" s="5">
        <f t="shared" ref="K90:K95" si="22">IFERROR(ROUND($F90+($G90-$F90)*0.632,0),"")</f>
        <v>0</v>
      </c>
      <c r="L90" s="5">
        <f t="shared" si="16"/>
        <v>0</v>
      </c>
      <c r="M90" s="5">
        <f t="shared" si="17"/>
        <v>0</v>
      </c>
      <c r="N90" s="5">
        <f t="shared" si="18"/>
        <v>0</v>
      </c>
      <c r="O90" s="9"/>
      <c r="P90" s="65"/>
      <c r="Q90" s="66"/>
      <c r="R90" s="43"/>
      <c r="S90" s="66"/>
      <c r="T90" s="65"/>
      <c r="U90" s="5"/>
      <c r="V90" s="26" t="str" cm="1">
        <f t="array" ref="V90">IFERROR(_xlfn.IFS(O90="F2",U90/K90,O90="F23",U90/L90,O90="F234",U90/M90,O90="F3",U90/L90,O90="F34",U90/M90,O90="F234손절",U90/K90,O90="F2345손절",U90/K90,O90="F34손절",U90/L90,O90="F345손절",U90/L90)-1,"")</f>
        <v/>
      </c>
      <c r="Z90" s="48"/>
      <c r="AB90" s="48"/>
      <c r="AC90" s="34"/>
    </row>
    <row r="91" spans="1:29">
      <c r="A91" s="36" t="s">
        <v>102</v>
      </c>
      <c r="B91" s="5">
        <v>26050</v>
      </c>
      <c r="C91" s="5" t="str">
        <f t="shared" si="19"/>
        <v/>
      </c>
      <c r="D91" s="5"/>
      <c r="E91" s="64">
        <f t="shared" si="14"/>
        <v>-1</v>
      </c>
      <c r="F91" s="7"/>
      <c r="G91" s="5"/>
      <c r="H91" s="65"/>
      <c r="I91" s="9"/>
      <c r="J91" s="4" t="str">
        <f t="shared" si="15"/>
        <v/>
      </c>
      <c r="K91" s="5">
        <f t="shared" si="22"/>
        <v>0</v>
      </c>
      <c r="L91" s="5">
        <f t="shared" si="16"/>
        <v>0</v>
      </c>
      <c r="M91" s="5">
        <f t="shared" si="17"/>
        <v>0</v>
      </c>
      <c r="N91" s="5">
        <f t="shared" si="18"/>
        <v>0</v>
      </c>
      <c r="O91" s="9"/>
      <c r="P91" s="65"/>
      <c r="Q91" s="66"/>
      <c r="R91" s="43"/>
      <c r="S91" s="65"/>
      <c r="T91" s="65"/>
      <c r="U91" s="5"/>
      <c r="V91" s="26" t="str" cm="1">
        <f t="array" ref="V91">IFERROR(_xlfn.IFS(O91="F2",U91/K91,O91="F23",U91/L91,O91="F234",U91/M91,O91="F3",U91/L91,O91="F34",U91/M91,O91="F234손절",U91/K91,O91="F2345손절",U91/K91,O91="F34손절",U91/L91,O91="F345손절",U91/L91)-1,"")</f>
        <v/>
      </c>
      <c r="Z91" s="48"/>
      <c r="AB91" s="48"/>
      <c r="AC91" s="34"/>
    </row>
    <row r="92" spans="1:29">
      <c r="A92" s="36" t="s">
        <v>103</v>
      </c>
      <c r="B92" s="5">
        <v>8280</v>
      </c>
      <c r="C92" s="5" t="str">
        <f t="shared" si="19"/>
        <v/>
      </c>
      <c r="D92" s="5"/>
      <c r="E92" s="64">
        <f t="shared" si="14"/>
        <v>-1</v>
      </c>
      <c r="F92" s="7"/>
      <c r="G92" s="5"/>
      <c r="H92" s="65"/>
      <c r="I92" s="9"/>
      <c r="J92" s="4" t="str">
        <f t="shared" si="15"/>
        <v/>
      </c>
      <c r="K92" s="5">
        <f t="shared" si="22"/>
        <v>0</v>
      </c>
      <c r="L92" s="5">
        <f t="shared" si="16"/>
        <v>0</v>
      </c>
      <c r="M92" s="5">
        <f t="shared" si="17"/>
        <v>0</v>
      </c>
      <c r="N92" s="5">
        <f t="shared" si="18"/>
        <v>0</v>
      </c>
      <c r="O92" s="9"/>
      <c r="P92" s="65"/>
      <c r="Q92" s="66"/>
      <c r="R92" s="43"/>
      <c r="S92" s="65"/>
      <c r="T92" s="65"/>
      <c r="U92" s="5"/>
      <c r="V92" s="26" t="str" cm="1">
        <f t="array" ref="V92">IFERROR(_xlfn.IFS(O92="F2",U92/K92,O92="F23",U92/L92,O92="F234",U92/M92,O92="F3",U92/L92,O92="F34",U92/M92,O92="F234손절",U92/K92,O92="F2345손절",U92/K92,O92="F34손절",U92/L92,O92="F345손절",U92/L92)-1,"")</f>
        <v/>
      </c>
      <c r="Z92" s="48"/>
      <c r="AB92" s="48"/>
      <c r="AC92" s="34"/>
    </row>
    <row r="93" spans="1:29">
      <c r="A93" s="36" t="s">
        <v>104</v>
      </c>
      <c r="B93" s="5">
        <v>16640</v>
      </c>
      <c r="C93" s="5" t="str">
        <f t="shared" si="19"/>
        <v/>
      </c>
      <c r="D93" s="5"/>
      <c r="E93" s="64">
        <f t="shared" si="14"/>
        <v>-1</v>
      </c>
      <c r="F93" s="7"/>
      <c r="G93" s="5"/>
      <c r="H93" s="65"/>
      <c r="I93" s="9"/>
      <c r="J93" s="4" t="str">
        <f t="shared" si="15"/>
        <v/>
      </c>
      <c r="K93" s="5">
        <f t="shared" si="22"/>
        <v>0</v>
      </c>
      <c r="L93" s="5">
        <f t="shared" si="16"/>
        <v>0</v>
      </c>
      <c r="M93" s="5">
        <f t="shared" si="17"/>
        <v>0</v>
      </c>
      <c r="N93" s="5">
        <f t="shared" si="18"/>
        <v>0</v>
      </c>
      <c r="O93" s="9"/>
      <c r="P93" s="65"/>
      <c r="Q93" s="66"/>
      <c r="R93" s="43"/>
      <c r="S93" s="66"/>
      <c r="T93" s="65"/>
      <c r="U93" s="5"/>
      <c r="V93" s="26" t="str" cm="1">
        <f t="array" ref="V93">IFERROR(_xlfn.IFS(O93="F2",U93/K93,O93="F23",U93/L93,O93="F234",U93/M93,O93="F3",U93/L93,O93="F34",U93/M93,O93="F234손절",U93/K93,O93="F2345손절",U93/K93,O93="F34손절",U93/L93,O93="F345손절",U93/L93)-1,"")</f>
        <v/>
      </c>
      <c r="Z93" s="48"/>
      <c r="AB93" s="48"/>
      <c r="AC93" s="34"/>
    </row>
    <row r="94" spans="1:29">
      <c r="A94" s="36"/>
      <c r="B94" s="5"/>
      <c r="C94" s="5" t="str">
        <f t="shared" si="19"/>
        <v/>
      </c>
      <c r="D94" s="5"/>
      <c r="E94" s="64" t="str">
        <f t="shared" si="14"/>
        <v/>
      </c>
      <c r="F94" s="7"/>
      <c r="G94" s="5"/>
      <c r="H94" s="65"/>
      <c r="I94" s="9"/>
      <c r="J94" s="4" t="str">
        <f t="shared" si="15"/>
        <v/>
      </c>
      <c r="K94" s="5">
        <f t="shared" si="22"/>
        <v>0</v>
      </c>
      <c r="L94" s="5">
        <f t="shared" si="16"/>
        <v>0</v>
      </c>
      <c r="M94" s="5">
        <f t="shared" si="17"/>
        <v>0</v>
      </c>
      <c r="N94" s="5">
        <f t="shared" si="18"/>
        <v>0</v>
      </c>
      <c r="O94" s="9"/>
      <c r="P94" s="65"/>
      <c r="Q94" s="66"/>
      <c r="R94" s="43"/>
      <c r="S94" s="65"/>
      <c r="T94" s="65"/>
      <c r="U94" s="5"/>
      <c r="V94" s="26" t="str" cm="1">
        <f t="array" ref="V94">IFERROR(_xlfn.IFS(O94="F2",U94/K94,O94="F23",U94/L94,O94="F234",U94/M94,O94="F3",U94/L94,O94="F34",U94/M94,O94="F234손절",U94/K94,O94="F2345손절",U94/K94,O94="F34손절",U94/L94,O94="F345손절",U94/L94)-1,"")</f>
        <v/>
      </c>
    </row>
    <row r="95" spans="1:29">
      <c r="A95" s="36"/>
      <c r="B95" s="5"/>
      <c r="C95" s="5" t="str">
        <f t="shared" si="19"/>
        <v/>
      </c>
      <c r="D95" s="5"/>
      <c r="E95" s="64" t="str">
        <f t="shared" si="14"/>
        <v/>
      </c>
      <c r="F95" s="7"/>
      <c r="G95" s="5"/>
      <c r="H95" s="65"/>
      <c r="I95" s="9"/>
      <c r="J95" s="4" t="str">
        <f t="shared" si="15"/>
        <v/>
      </c>
      <c r="K95" s="5">
        <f t="shared" si="22"/>
        <v>0</v>
      </c>
      <c r="L95" s="5">
        <f t="shared" si="16"/>
        <v>0</v>
      </c>
      <c r="M95" s="5">
        <f t="shared" si="17"/>
        <v>0</v>
      </c>
      <c r="N95" s="5">
        <f t="shared" si="18"/>
        <v>0</v>
      </c>
      <c r="O95" s="9"/>
      <c r="P95" s="65"/>
      <c r="Q95" s="66"/>
      <c r="R95" s="43"/>
      <c r="S95" s="65"/>
      <c r="T95" s="65"/>
      <c r="U95" s="5"/>
      <c r="V95" s="26" t="str" cm="1">
        <f t="array" ref="V95">IFERROR(_xlfn.IFS(O95="F2",U95/K95,O95="F23",U95/L95,O95="F234",U95/M95,O95="F3",U95/L95,O95="F34",U95/M95,O95="F234손절",U95/K95,O95="F2345손절",U95/K95,O95="F34손절",U95/L95,O95="F345손절",U95/L95)-1,"")</f>
        <v/>
      </c>
    </row>
    <row r="96" spans="1:29">
      <c r="A96" s="36"/>
      <c r="B96" s="5"/>
      <c r="C96" s="5" t="str">
        <f t="shared" si="19"/>
        <v/>
      </c>
      <c r="D96" s="5"/>
      <c r="E96" s="64" t="str">
        <f t="shared" ref="E96" si="23">IFERROR(D96/B96-1,"")</f>
        <v/>
      </c>
      <c r="F96" s="7"/>
      <c r="G96" s="5"/>
      <c r="H96" s="65"/>
      <c r="I96" s="9"/>
      <c r="J96" s="4" t="str">
        <f t="shared" ref="J96" si="24">IFERROR(G96/F96-1,"")</f>
        <v/>
      </c>
      <c r="K96" s="5">
        <f xml:space="preserve"> COUNTIFS('F series'!T97:T99,#REF!, 'F series'!O97:O99,#REF!)</f>
        <v>0</v>
      </c>
      <c r="L96" s="5">
        <f t="shared" ref="L96" si="25">IFERROR(ROUND($F96+($G96-$F96)*0.5,0),"")</f>
        <v>0</v>
      </c>
      <c r="M96" s="5">
        <f t="shared" ref="M96" si="26">IFERROR(ROUND($F96+($G96-$F96)*0.368,0),"")</f>
        <v>0</v>
      </c>
      <c r="N96" s="5">
        <f t="shared" ref="N96" si="27">IFERROR(ROUND($F96+($G96-$F96)*0.214,0),"")</f>
        <v>0</v>
      </c>
      <c r="O96" s="9"/>
      <c r="P96" s="65"/>
      <c r="Q96" s="66"/>
      <c r="R96" s="43"/>
      <c r="S96" s="65"/>
      <c r="T96" s="65"/>
      <c r="U96" s="5"/>
      <c r="V96" s="26" t="str" cm="1">
        <f t="array" ref="V96">IFERROR(_xlfn.IFS(O96="F2",U96/K96,O96="F23",U96/L96,O96="F234",U96/M96,O96="F3",U96/L96,O96="F34",U96/M96,O96="F234손절",U96/K96,O96="F2345손절",U96/K96,O96="F34손절",U96/L96,O96="F345손절",U96/L96)-1,"")</f>
        <v/>
      </c>
    </row>
    <row r="97" spans="1:22">
      <c r="A97" s="36"/>
      <c r="B97" s="5"/>
      <c r="C97" s="5" t="str">
        <f t="shared" si="19"/>
        <v/>
      </c>
      <c r="D97" s="5"/>
      <c r="E97" s="64" t="str">
        <f t="shared" ref="E97:E99" si="28">IFERROR(D97/B97-1,"")</f>
        <v/>
      </c>
      <c r="F97" s="7"/>
      <c r="G97" s="5"/>
      <c r="H97" s="65"/>
      <c r="I97" s="9"/>
      <c r="J97" s="4" t="str">
        <f t="shared" ref="J97:J99" si="29">IFERROR(G97/F97-1,"")</f>
        <v/>
      </c>
      <c r="K97" s="5">
        <f t="shared" ref="K97:K99" si="30">IFERROR(ROUND($F97+($G97-$F97)*0.632,0),"")</f>
        <v>0</v>
      </c>
      <c r="L97" s="5">
        <f t="shared" ref="L97:L99" si="31">IFERROR(ROUND($F97+($G97-$F97)*0.5,0),"")</f>
        <v>0</v>
      </c>
      <c r="M97" s="5">
        <f t="shared" ref="M97:M99" si="32">IFERROR(ROUND($F97+($G97-$F97)*0.368,0),"")</f>
        <v>0</v>
      </c>
      <c r="N97" s="5">
        <f t="shared" ref="N97:N99" si="33">IFERROR(ROUND($F97+($G97-$F97)*0.214,0),"")</f>
        <v>0</v>
      </c>
      <c r="O97" s="9"/>
      <c r="P97" s="65"/>
      <c r="Q97" s="66"/>
      <c r="R97" s="43"/>
      <c r="S97" s="65"/>
      <c r="T97" s="65"/>
      <c r="U97" s="5"/>
      <c r="V97" s="26" t="str" cm="1">
        <f t="array" ref="V97">IFERROR(_xlfn.IFS(O97="F2",U97/K97,O97="F23",U97/L97,O97="F234",U97/M97,O97="F3",U97/L97,O97="F34",U97/M97,O97="F234손절",U97/K97,O97="F2345손절",U97/K97,O97="F34손절",U97/L97,O97="F345손절",U97/L97)-1,"")</f>
        <v/>
      </c>
    </row>
    <row r="98" spans="1:22">
      <c r="A98" s="36"/>
      <c r="B98" s="5"/>
      <c r="C98" s="5" t="str">
        <f t="shared" si="19"/>
        <v/>
      </c>
      <c r="D98" s="5"/>
      <c r="E98" s="64" t="str">
        <f t="shared" si="28"/>
        <v/>
      </c>
      <c r="F98" s="7"/>
      <c r="G98" s="5"/>
      <c r="H98" s="65"/>
      <c r="I98" s="9"/>
      <c r="J98" s="4" t="str">
        <f t="shared" si="29"/>
        <v/>
      </c>
      <c r="K98" s="5">
        <f t="shared" si="30"/>
        <v>0</v>
      </c>
      <c r="L98" s="5">
        <f t="shared" si="31"/>
        <v>0</v>
      </c>
      <c r="M98" s="5">
        <f t="shared" si="32"/>
        <v>0</v>
      </c>
      <c r="N98" s="5">
        <f t="shared" si="33"/>
        <v>0</v>
      </c>
      <c r="O98" s="9"/>
      <c r="P98" s="65"/>
      <c r="Q98" s="66"/>
      <c r="R98" s="43"/>
      <c r="S98" s="66"/>
      <c r="T98" s="65"/>
      <c r="U98" s="5"/>
      <c r="V98" s="26" t="str" cm="1">
        <f t="array" ref="V98">IFERROR(_xlfn.IFS(O98="F2",U98/K98,O98="F23",U98/L98,O98="F234",U98/M98,O98="F3",U98/L98,O98="F34",U98/M98,O98="F234손절",U98/K98,O98="F2345손절",U98/K98,O98="F34손절",U98/L98,O98="F345손절",U98/L98)-1,"")</f>
        <v/>
      </c>
    </row>
    <row r="99" spans="1:22">
      <c r="A99" s="41"/>
      <c r="B99" s="8"/>
      <c r="C99" s="8" t="str">
        <f t="shared" si="19"/>
        <v/>
      </c>
      <c r="D99" s="8"/>
      <c r="E99" s="62" t="str">
        <f t="shared" si="28"/>
        <v/>
      </c>
      <c r="F99" s="49"/>
      <c r="G99" s="8"/>
      <c r="H99" s="23"/>
      <c r="I99" s="46"/>
      <c r="J99" s="11" t="str">
        <f t="shared" si="29"/>
        <v/>
      </c>
      <c r="K99" s="8">
        <f t="shared" si="30"/>
        <v>0</v>
      </c>
      <c r="L99" s="8">
        <f t="shared" si="31"/>
        <v>0</v>
      </c>
      <c r="M99" s="8">
        <f t="shared" si="32"/>
        <v>0</v>
      </c>
      <c r="N99" s="8">
        <f t="shared" si="33"/>
        <v>0</v>
      </c>
      <c r="O99" s="46"/>
      <c r="P99" s="23"/>
      <c r="Q99" s="25"/>
      <c r="R99" s="44"/>
      <c r="S99" s="25"/>
      <c r="T99" s="23"/>
      <c r="U99" s="8"/>
      <c r="V99" s="27" t="str" cm="1">
        <f t="array" ref="V99">IFERROR(_xlfn.IFS(O99="F2",U99/K99,O99="F23",U99/L99,O99="F234",U99/M99,O99="F3",U99/L99,O99="F34",U99/M99,O99="F234손절",U99/K99,O99="F2345손절",U99/K99,O99="F34손절",U99/L99,O99="F345손절",U99/L99)-1,"")</f>
        <v/>
      </c>
    </row>
    <row r="100" spans="1:22">
      <c r="B100" s="3"/>
    </row>
    <row r="101" spans="1:22">
      <c r="B101" s="3"/>
    </row>
    <row r="102" spans="1:22">
      <c r="B102" s="3"/>
    </row>
    <row r="103" spans="1:22">
      <c r="B103" s="3"/>
    </row>
    <row r="104" spans="1:22">
      <c r="B104" s="3"/>
    </row>
    <row r="105" spans="1:22">
      <c r="B105" s="3"/>
    </row>
    <row r="106" spans="1:22">
      <c r="B106" s="3"/>
    </row>
    <row r="107" spans="1:22">
      <c r="B107" s="3"/>
    </row>
    <row r="108" spans="1:22">
      <c r="B108" s="3"/>
    </row>
    <row r="109" spans="1:22">
      <c r="B109" s="3"/>
    </row>
    <row r="110" spans="1:22">
      <c r="B110" s="3"/>
    </row>
    <row r="111" spans="1:22">
      <c r="B111" s="3"/>
    </row>
    <row r="112" spans="1:22">
      <c r="B112" s="3"/>
    </row>
    <row r="113" spans="2:2">
      <c r="B113" s="3"/>
    </row>
    <row r="114" spans="2:2">
      <c r="B114" s="3"/>
    </row>
    <row r="115" spans="2:2">
      <c r="B115" s="3"/>
    </row>
    <row r="116" spans="2:2">
      <c r="B116" s="3"/>
    </row>
    <row r="117" spans="2:2">
      <c r="B117" s="3"/>
    </row>
    <row r="118" spans="2:2">
      <c r="B118" s="3"/>
    </row>
    <row r="119" spans="2:2">
      <c r="B119" s="3"/>
    </row>
    <row r="120" spans="2:2">
      <c r="B120" s="3"/>
    </row>
    <row r="121" spans="2:2">
      <c r="B121" s="3"/>
    </row>
    <row r="122" spans="2:2">
      <c r="B122" s="3"/>
    </row>
    <row r="123" spans="2:2">
      <c r="B123" s="3"/>
    </row>
    <row r="124" spans="2:2">
      <c r="B124" s="3"/>
    </row>
    <row r="125" spans="2:2">
      <c r="B125" s="3"/>
    </row>
    <row r="126" spans="2:2">
      <c r="B126" s="3"/>
    </row>
    <row r="127" spans="2:2">
      <c r="B127" s="3"/>
    </row>
    <row r="128" spans="2:2">
      <c r="B128" s="3"/>
    </row>
    <row r="129" spans="2:2">
      <c r="B129" s="3"/>
    </row>
    <row r="130" spans="2:2">
      <c r="B130" s="3"/>
    </row>
    <row r="131" spans="2:2">
      <c r="B131" s="3"/>
    </row>
    <row r="132" spans="2:2">
      <c r="B132" s="3"/>
    </row>
    <row r="133" spans="2:2">
      <c r="B133" s="3"/>
    </row>
    <row r="134" spans="2:2">
      <c r="B134" s="3"/>
    </row>
    <row r="135" spans="2:2">
      <c r="B135" s="3"/>
    </row>
    <row r="136" spans="2:2">
      <c r="B136" s="3"/>
    </row>
    <row r="137" spans="2:2">
      <c r="B137" s="3"/>
    </row>
    <row r="138" spans="2:2">
      <c r="B138" s="3"/>
    </row>
    <row r="139" spans="2:2">
      <c r="B139" s="3"/>
    </row>
    <row r="140" spans="2:2">
      <c r="B140" s="3"/>
    </row>
    <row r="141" spans="2:2">
      <c r="B141" s="3"/>
    </row>
    <row r="142" spans="2:2">
      <c r="B142" s="3"/>
    </row>
    <row r="143" spans="2:2">
      <c r="B143" s="3"/>
    </row>
    <row r="144" spans="2:2">
      <c r="B144" s="3"/>
    </row>
    <row r="145" spans="2:2">
      <c r="B145" s="3"/>
    </row>
    <row r="146" spans="2:2">
      <c r="B146" s="3"/>
    </row>
    <row r="147" spans="2:2">
      <c r="B147" s="3"/>
    </row>
    <row r="148" spans="2:2">
      <c r="B148" s="3"/>
    </row>
    <row r="149" spans="2:2">
      <c r="B149" s="3"/>
    </row>
    <row r="150" spans="2:2">
      <c r="B150" s="3"/>
    </row>
    <row r="151" spans="2:2">
      <c r="B151" s="3"/>
    </row>
    <row r="152" spans="2:2">
      <c r="B152" s="3"/>
    </row>
    <row r="153" spans="2:2">
      <c r="B153" s="3"/>
    </row>
    <row r="154" spans="2:2">
      <c r="B154" s="3"/>
    </row>
    <row r="155" spans="2:2">
      <c r="B155" s="3"/>
    </row>
    <row r="156" spans="2:2">
      <c r="B156" s="3"/>
    </row>
    <row r="157" spans="2:2">
      <c r="B157" s="3"/>
    </row>
    <row r="158" spans="2:2">
      <c r="B158" s="3"/>
    </row>
    <row r="159" spans="2:2">
      <c r="B159" s="3"/>
    </row>
    <row r="160" spans="2:2">
      <c r="B160" s="3"/>
    </row>
    <row r="161" spans="2:2">
      <c r="B161" s="3"/>
    </row>
    <row r="162" spans="2:2">
      <c r="B162" s="3"/>
    </row>
    <row r="163" spans="2:2">
      <c r="B163" s="3"/>
    </row>
    <row r="164" spans="2:2">
      <c r="B164" s="3"/>
    </row>
    <row r="165" spans="2:2">
      <c r="B165" s="3"/>
    </row>
    <row r="166" spans="2:2">
      <c r="B166" s="3"/>
    </row>
    <row r="167" spans="2:2">
      <c r="B167" s="3"/>
    </row>
    <row r="168" spans="2:2">
      <c r="B168" s="3"/>
    </row>
    <row r="169" spans="2:2">
      <c r="B169" s="3"/>
    </row>
    <row r="170" spans="2:2">
      <c r="B170" s="3"/>
    </row>
    <row r="171" spans="2:2">
      <c r="B171" s="3"/>
    </row>
    <row r="172" spans="2:2">
      <c r="B172" s="3"/>
    </row>
    <row r="173" spans="2:2">
      <c r="B173" s="3"/>
    </row>
    <row r="174" spans="2:2">
      <c r="B174" s="3"/>
    </row>
    <row r="175" spans="2:2">
      <c r="B175" s="3"/>
    </row>
    <row r="176" spans="2:2">
      <c r="B176" s="3"/>
    </row>
    <row r="177" spans="2:2">
      <c r="B177" s="3"/>
    </row>
    <row r="178" spans="2:2">
      <c r="B178" s="3"/>
    </row>
    <row r="179" spans="2:2">
      <c r="B179" s="3"/>
    </row>
    <row r="180" spans="2:2">
      <c r="B180" s="3"/>
    </row>
    <row r="181" spans="2:2">
      <c r="B181" s="3"/>
    </row>
    <row r="182" spans="2:2">
      <c r="B182" s="3"/>
    </row>
    <row r="183" spans="2:2">
      <c r="B183" s="3"/>
    </row>
    <row r="184" spans="2:2">
      <c r="B184" s="3"/>
    </row>
    <row r="185" spans="2:2">
      <c r="B185" s="3"/>
    </row>
    <row r="186" spans="2:2">
      <c r="B186" s="3"/>
    </row>
    <row r="187" spans="2:2">
      <c r="B187" s="3"/>
    </row>
    <row r="188" spans="2:2">
      <c r="B188" s="3"/>
    </row>
    <row r="189" spans="2:2">
      <c r="B189" s="3"/>
    </row>
    <row r="190" spans="2:2">
      <c r="B190" s="3"/>
    </row>
    <row r="191" spans="2:2">
      <c r="B191" s="3"/>
    </row>
    <row r="192" spans="2:2">
      <c r="B192" s="3"/>
    </row>
    <row r="193" spans="2:2">
      <c r="B193" s="3"/>
    </row>
    <row r="194" spans="2:2">
      <c r="B194" s="3"/>
    </row>
    <row r="195" spans="2:2">
      <c r="B195" s="3"/>
    </row>
    <row r="196" spans="2:2">
      <c r="B196" s="3"/>
    </row>
    <row r="197" spans="2:2">
      <c r="B197" s="3"/>
    </row>
    <row r="198" spans="2:2">
      <c r="B198" s="3"/>
    </row>
    <row r="199" spans="2:2">
      <c r="B199" s="3"/>
    </row>
    <row r="200" spans="2:2">
      <c r="B200" s="3"/>
    </row>
    <row r="201" spans="2:2">
      <c r="B201" s="3"/>
    </row>
    <row r="202" spans="2:2">
      <c r="B202" s="3"/>
    </row>
    <row r="203" spans="2:2">
      <c r="B203" s="3"/>
    </row>
    <row r="204" spans="2:2">
      <c r="B204" s="3"/>
    </row>
    <row r="205" spans="2:2">
      <c r="B205" s="3"/>
    </row>
    <row r="206" spans="2:2">
      <c r="B206" s="3"/>
    </row>
    <row r="207" spans="2:2">
      <c r="B207" s="3"/>
    </row>
    <row r="208" spans="2:2">
      <c r="B208" s="3"/>
    </row>
    <row r="209" spans="2:2">
      <c r="B209" s="3"/>
    </row>
  </sheetData>
  <sortState xmlns:xlrd2="http://schemas.microsoft.com/office/spreadsheetml/2017/richdata2" ref="A97:V99">
    <sortCondition ref="A97:A99"/>
    <sortCondition ref="G97:G99"/>
  </sortState>
  <phoneticPr fontId="1" type="noConversion"/>
  <conditionalFormatting sqref="A97">
    <cfRule type="duplicateValues" dxfId="108" priority="1256"/>
  </conditionalFormatting>
  <conditionalFormatting sqref="A98">
    <cfRule type="duplicateValues" dxfId="107" priority="1257"/>
  </conditionalFormatting>
  <conditionalFormatting sqref="A99 A1">
    <cfRule type="duplicateValues" dxfId="106" priority="4161"/>
  </conditionalFormatting>
  <conditionalFormatting sqref="G1:I99">
    <cfRule type="containsText" dxfId="105" priority="832" operator="containsText" text="갱신">
      <formula>NOT(ISERROR(SEARCH("갱신",G1)))</formula>
    </cfRule>
  </conditionalFormatting>
  <conditionalFormatting sqref="T2:T99">
    <cfRule type="containsText" dxfId="104" priority="1001" operator="containsText" text="현금">
      <formula>NOT(ISERROR(SEARCH("현금",T2)))</formula>
    </cfRule>
  </conditionalFormatting>
  <conditionalFormatting sqref="T2:T99">
    <cfRule type="containsText" dxfId="103" priority="799" operator="containsText" text="csh">
      <formula>NOT(ISERROR(SEARCH("csh",T2)))</formula>
    </cfRule>
  </conditionalFormatting>
  <conditionalFormatting sqref="A2">
    <cfRule type="duplicateValues" dxfId="102" priority="437"/>
  </conditionalFormatting>
  <conditionalFormatting sqref="A2">
    <cfRule type="duplicateValues" dxfId="101" priority="410"/>
  </conditionalFormatting>
  <conditionalFormatting sqref="J1:J1048576">
    <cfRule type="colorScale" priority="119">
      <colorScale>
        <cfvo type="min"/>
        <cfvo type="max"/>
        <color rgb="FFFCFCFF"/>
        <color rgb="FFF8696B"/>
      </colorScale>
    </cfRule>
  </conditionalFormatting>
  <conditionalFormatting sqref="A96">
    <cfRule type="duplicateValues" dxfId="100" priority="98"/>
  </conditionalFormatting>
  <conditionalFormatting sqref="A95">
    <cfRule type="duplicateValues" dxfId="99" priority="94"/>
  </conditionalFormatting>
  <conditionalFormatting sqref="A94">
    <cfRule type="duplicateValues" dxfId="98" priority="93"/>
  </conditionalFormatting>
  <conditionalFormatting sqref="A89">
    <cfRule type="duplicateValues" dxfId="97" priority="91"/>
  </conditionalFormatting>
  <conditionalFormatting sqref="A90">
    <cfRule type="duplicateValues" dxfId="96" priority="92"/>
  </conditionalFormatting>
  <conditionalFormatting sqref="A92">
    <cfRule type="duplicateValues" dxfId="95" priority="89"/>
  </conditionalFormatting>
  <conditionalFormatting sqref="A93">
    <cfRule type="duplicateValues" dxfId="94" priority="90"/>
  </conditionalFormatting>
  <conditionalFormatting sqref="A91">
    <cfRule type="duplicateValues" dxfId="93" priority="88"/>
  </conditionalFormatting>
  <conditionalFormatting sqref="A88">
    <cfRule type="duplicateValues" dxfId="92" priority="87"/>
  </conditionalFormatting>
  <conditionalFormatting sqref="A87">
    <cfRule type="duplicateValues" dxfId="91" priority="85"/>
  </conditionalFormatting>
  <conditionalFormatting sqref="A82">
    <cfRule type="duplicateValues" dxfId="90" priority="83"/>
  </conditionalFormatting>
  <conditionalFormatting sqref="A83">
    <cfRule type="duplicateValues" dxfId="89" priority="84"/>
  </conditionalFormatting>
  <conditionalFormatting sqref="A85">
    <cfRule type="duplicateValues" dxfId="88" priority="81"/>
  </conditionalFormatting>
  <conditionalFormatting sqref="A86">
    <cfRule type="duplicateValues" dxfId="87" priority="82"/>
  </conditionalFormatting>
  <conditionalFormatting sqref="A84">
    <cfRule type="duplicateValues" dxfId="86" priority="80"/>
  </conditionalFormatting>
  <conditionalFormatting sqref="A80">
    <cfRule type="duplicateValues" dxfId="85" priority="78"/>
  </conditionalFormatting>
  <conditionalFormatting sqref="A81">
    <cfRule type="duplicateValues" dxfId="84" priority="79"/>
  </conditionalFormatting>
  <conditionalFormatting sqref="A79">
    <cfRule type="duplicateValues" dxfId="83" priority="77"/>
  </conditionalFormatting>
  <conditionalFormatting sqref="A74">
    <cfRule type="duplicateValues" dxfId="82" priority="75"/>
  </conditionalFormatting>
  <conditionalFormatting sqref="A75">
    <cfRule type="duplicateValues" dxfId="81" priority="76"/>
  </conditionalFormatting>
  <conditionalFormatting sqref="A77">
    <cfRule type="duplicateValues" dxfId="80" priority="73"/>
  </conditionalFormatting>
  <conditionalFormatting sqref="A78">
    <cfRule type="duplicateValues" dxfId="79" priority="74"/>
  </conditionalFormatting>
  <conditionalFormatting sqref="A76">
    <cfRule type="duplicateValues" dxfId="78" priority="72"/>
  </conditionalFormatting>
  <conditionalFormatting sqref="A72">
    <cfRule type="duplicateValues" dxfId="77" priority="70"/>
  </conditionalFormatting>
  <conditionalFormatting sqref="A73">
    <cfRule type="duplicateValues" dxfId="76" priority="71"/>
  </conditionalFormatting>
  <conditionalFormatting sqref="A71">
    <cfRule type="duplicateValues" dxfId="75" priority="69"/>
  </conditionalFormatting>
  <conditionalFormatting sqref="A66">
    <cfRule type="duplicateValues" dxfId="74" priority="67"/>
  </conditionalFormatting>
  <conditionalFormatting sqref="A67">
    <cfRule type="duplicateValues" dxfId="73" priority="68"/>
  </conditionalFormatting>
  <conditionalFormatting sqref="A69">
    <cfRule type="duplicateValues" dxfId="72" priority="65"/>
  </conditionalFormatting>
  <conditionalFormatting sqref="A70">
    <cfRule type="duplicateValues" dxfId="71" priority="66"/>
  </conditionalFormatting>
  <conditionalFormatting sqref="A68">
    <cfRule type="duplicateValues" dxfId="70" priority="64"/>
  </conditionalFormatting>
  <conditionalFormatting sqref="A64">
    <cfRule type="duplicateValues" dxfId="69" priority="62"/>
  </conditionalFormatting>
  <conditionalFormatting sqref="A65">
    <cfRule type="duplicateValues" dxfId="68" priority="63"/>
  </conditionalFormatting>
  <conditionalFormatting sqref="A63">
    <cfRule type="duplicateValues" dxfId="67" priority="61"/>
  </conditionalFormatting>
  <conditionalFormatting sqref="A58">
    <cfRule type="duplicateValues" dxfId="66" priority="59"/>
  </conditionalFormatting>
  <conditionalFormatting sqref="A59">
    <cfRule type="duplicateValues" dxfId="65" priority="60"/>
  </conditionalFormatting>
  <conditionalFormatting sqref="A61">
    <cfRule type="duplicateValues" dxfId="64" priority="57"/>
  </conditionalFormatting>
  <conditionalFormatting sqref="A62">
    <cfRule type="duplicateValues" dxfId="63" priority="58"/>
  </conditionalFormatting>
  <conditionalFormatting sqref="A60">
    <cfRule type="duplicateValues" dxfId="62" priority="56"/>
  </conditionalFormatting>
  <conditionalFormatting sqref="A56">
    <cfRule type="duplicateValues" dxfId="61" priority="54"/>
  </conditionalFormatting>
  <conditionalFormatting sqref="A57">
    <cfRule type="duplicateValues" dxfId="60" priority="55"/>
  </conditionalFormatting>
  <conditionalFormatting sqref="A55">
    <cfRule type="duplicateValues" dxfId="59" priority="53"/>
  </conditionalFormatting>
  <conditionalFormatting sqref="A50">
    <cfRule type="duplicateValues" dxfId="58" priority="51"/>
  </conditionalFormatting>
  <conditionalFormatting sqref="A51">
    <cfRule type="duplicateValues" dxfId="57" priority="52"/>
  </conditionalFormatting>
  <conditionalFormatting sqref="A53">
    <cfRule type="duplicateValues" dxfId="56" priority="49"/>
  </conditionalFormatting>
  <conditionalFormatting sqref="A54">
    <cfRule type="duplicateValues" dxfId="55" priority="50"/>
  </conditionalFormatting>
  <conditionalFormatting sqref="A52">
    <cfRule type="duplicateValues" dxfId="54" priority="48"/>
  </conditionalFormatting>
  <conditionalFormatting sqref="A48">
    <cfRule type="duplicateValues" dxfId="53" priority="46"/>
  </conditionalFormatting>
  <conditionalFormatting sqref="A49">
    <cfRule type="duplicateValues" dxfId="52" priority="47"/>
  </conditionalFormatting>
  <conditionalFormatting sqref="A47">
    <cfRule type="duplicateValues" dxfId="51" priority="45"/>
  </conditionalFormatting>
  <conditionalFormatting sqref="A42">
    <cfRule type="duplicateValues" dxfId="50" priority="43"/>
  </conditionalFormatting>
  <conditionalFormatting sqref="A43">
    <cfRule type="duplicateValues" dxfId="49" priority="44"/>
  </conditionalFormatting>
  <conditionalFormatting sqref="A45">
    <cfRule type="duplicateValues" dxfId="48" priority="41"/>
  </conditionalFormatting>
  <conditionalFormatting sqref="A46">
    <cfRule type="duplicateValues" dxfId="47" priority="42"/>
  </conditionalFormatting>
  <conditionalFormatting sqref="A44">
    <cfRule type="duplicateValues" dxfId="46" priority="40"/>
  </conditionalFormatting>
  <conditionalFormatting sqref="A40">
    <cfRule type="duplicateValues" dxfId="45" priority="38"/>
  </conditionalFormatting>
  <conditionalFormatting sqref="A41">
    <cfRule type="duplicateValues" dxfId="44" priority="39"/>
  </conditionalFormatting>
  <conditionalFormatting sqref="A39">
    <cfRule type="duplicateValues" dxfId="43" priority="37"/>
  </conditionalFormatting>
  <conditionalFormatting sqref="A34">
    <cfRule type="duplicateValues" dxfId="42" priority="35"/>
  </conditionalFormatting>
  <conditionalFormatting sqref="A35">
    <cfRule type="duplicateValues" dxfId="41" priority="36"/>
  </conditionalFormatting>
  <conditionalFormatting sqref="A37">
    <cfRule type="duplicateValues" dxfId="40" priority="33"/>
  </conditionalFormatting>
  <conditionalFormatting sqref="A38">
    <cfRule type="duplicateValues" dxfId="39" priority="34"/>
  </conditionalFormatting>
  <conditionalFormatting sqref="A36">
    <cfRule type="duplicateValues" dxfId="38" priority="32"/>
  </conditionalFormatting>
  <conditionalFormatting sqref="A33">
    <cfRule type="duplicateValues" dxfId="37" priority="31"/>
  </conditionalFormatting>
  <conditionalFormatting sqref="A32">
    <cfRule type="duplicateValues" dxfId="36" priority="30"/>
  </conditionalFormatting>
  <conditionalFormatting sqref="A27">
    <cfRule type="duplicateValues" dxfId="35" priority="28"/>
  </conditionalFormatting>
  <conditionalFormatting sqref="A28">
    <cfRule type="duplicateValues" dxfId="34" priority="29"/>
  </conditionalFormatting>
  <conditionalFormatting sqref="A30">
    <cfRule type="duplicateValues" dxfId="33" priority="26"/>
  </conditionalFormatting>
  <conditionalFormatting sqref="A31">
    <cfRule type="duplicateValues" dxfId="32" priority="27"/>
  </conditionalFormatting>
  <conditionalFormatting sqref="A29">
    <cfRule type="duplicateValues" dxfId="31" priority="25"/>
  </conditionalFormatting>
  <conditionalFormatting sqref="A25">
    <cfRule type="duplicateValues" dxfId="30" priority="23"/>
  </conditionalFormatting>
  <conditionalFormatting sqref="A26">
    <cfRule type="duplicateValues" dxfId="29" priority="24"/>
  </conditionalFormatting>
  <conditionalFormatting sqref="A24">
    <cfRule type="duplicateValues" dxfId="28" priority="22"/>
  </conditionalFormatting>
  <conditionalFormatting sqref="A19">
    <cfRule type="duplicateValues" dxfId="27" priority="20"/>
  </conditionalFormatting>
  <conditionalFormatting sqref="A20">
    <cfRule type="duplicateValues" dxfId="26" priority="21"/>
  </conditionalFormatting>
  <conditionalFormatting sqref="A22">
    <cfRule type="duplicateValues" dxfId="25" priority="18"/>
  </conditionalFormatting>
  <conditionalFormatting sqref="A23">
    <cfRule type="duplicateValues" dxfId="24" priority="19"/>
  </conditionalFormatting>
  <conditionalFormatting sqref="A21">
    <cfRule type="duplicateValues" dxfId="23" priority="17"/>
  </conditionalFormatting>
  <conditionalFormatting sqref="A17">
    <cfRule type="duplicateValues" dxfId="22" priority="15"/>
  </conditionalFormatting>
  <conditionalFormatting sqref="A18">
    <cfRule type="duplicateValues" dxfId="21" priority="16"/>
  </conditionalFormatting>
  <conditionalFormatting sqref="A16">
    <cfRule type="duplicateValues" dxfId="20" priority="14"/>
  </conditionalFormatting>
  <conditionalFormatting sqref="A11">
    <cfRule type="duplicateValues" dxfId="19" priority="12"/>
  </conditionalFormatting>
  <conditionalFormatting sqref="A12">
    <cfRule type="duplicateValues" dxfId="18" priority="13"/>
  </conditionalFormatting>
  <conditionalFormatting sqref="A14">
    <cfRule type="duplicateValues" dxfId="17" priority="10"/>
  </conditionalFormatting>
  <conditionalFormatting sqref="A15">
    <cfRule type="duplicateValues" dxfId="16" priority="11"/>
  </conditionalFormatting>
  <conditionalFormatting sqref="A13">
    <cfRule type="duplicateValues" dxfId="15" priority="9"/>
  </conditionalFormatting>
  <conditionalFormatting sqref="A9">
    <cfRule type="duplicateValues" dxfId="14" priority="7"/>
  </conditionalFormatting>
  <conditionalFormatting sqref="A10">
    <cfRule type="duplicateValues" dxfId="13" priority="8"/>
  </conditionalFormatting>
  <conditionalFormatting sqref="A8">
    <cfRule type="duplicateValues" dxfId="12" priority="6"/>
  </conditionalFormatting>
  <conditionalFormatting sqref="A3">
    <cfRule type="duplicateValues" dxfId="11" priority="4"/>
  </conditionalFormatting>
  <conditionalFormatting sqref="A4">
    <cfRule type="duplicateValues" dxfId="10" priority="5"/>
  </conditionalFormatting>
  <conditionalFormatting sqref="A6">
    <cfRule type="duplicateValues" dxfId="9" priority="2"/>
  </conditionalFormatting>
  <conditionalFormatting sqref="A7">
    <cfRule type="duplicateValues" dxfId="8" priority="3"/>
  </conditionalFormatting>
  <conditionalFormatting sqref="A5">
    <cfRule type="duplicateValues" dxfId="7" priority="1"/>
  </conditionalFormatting>
  <dataValidations count="1">
    <dataValidation allowBlank="1" showInputMessage="1" showErrorMessage="1" sqref="P1:S2 O2:O99 Q3:R99 P3:P1048576 H1:I1048576 S3:S1048576" xr:uid="{7490187E-0BAE-463C-B326-753BFA47DEDD}"/>
  </dataValidations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627E3-CF51-443E-9F5F-77837348C780}">
  <dimension ref="A1:AG36"/>
  <sheetViews>
    <sheetView workbookViewId="0">
      <pane xSplit="7" ySplit="1" topLeftCell="H12" activePane="bottomRight" state="frozen"/>
      <selection pane="bottomRight" activeCell="G12" sqref="G12"/>
      <selection pane="bottomLeft"/>
      <selection pane="topRight"/>
    </sheetView>
  </sheetViews>
  <sheetFormatPr defaultRowHeight="16.5"/>
  <cols>
    <col min="1" max="1" width="11.5" bestFit="1" customWidth="1"/>
    <col min="2" max="2" width="19.375" bestFit="1" customWidth="1"/>
    <col min="3" max="3" width="9.5" style="51" bestFit="1" customWidth="1"/>
    <col min="4" max="6" width="8.5" style="51" bestFit="1" customWidth="1"/>
    <col min="7" max="7" width="9.75" style="2" bestFit="1" customWidth="1"/>
    <col min="8" max="8" width="5.75" style="2" bestFit="1" customWidth="1"/>
    <col min="9" max="9" width="5.75" bestFit="1" customWidth="1"/>
    <col min="10" max="10" width="4.375" style="2" bestFit="1" customWidth="1"/>
    <col min="11" max="11" width="11.5" style="2" bestFit="1" customWidth="1"/>
    <col min="12" max="12" width="9.125" style="51" bestFit="1" customWidth="1"/>
    <col min="13" max="13" width="8.5" bestFit="1" customWidth="1"/>
    <col min="15" max="15" width="4.375" bestFit="1" customWidth="1"/>
  </cols>
  <sheetData>
    <row r="1" spans="1:33" s="3" customFormat="1">
      <c r="A1" s="17" t="s">
        <v>105</v>
      </c>
      <c r="B1" s="18" t="s">
        <v>0</v>
      </c>
      <c r="C1" s="54" t="s">
        <v>106</v>
      </c>
      <c r="D1" s="55" t="s">
        <v>107</v>
      </c>
      <c r="E1" s="50" t="s">
        <v>108</v>
      </c>
      <c r="F1" s="54" t="s">
        <v>109</v>
      </c>
      <c r="G1" s="17" t="s">
        <v>110</v>
      </c>
      <c r="H1" s="16" t="s">
        <v>111</v>
      </c>
      <c r="I1" s="16" t="s">
        <v>112</v>
      </c>
      <c r="J1" s="16" t="s">
        <v>113</v>
      </c>
      <c r="K1" s="16" t="s">
        <v>19</v>
      </c>
      <c r="L1" s="54" t="s">
        <v>20</v>
      </c>
      <c r="M1" s="18" t="s">
        <v>21</v>
      </c>
      <c r="O1" s="32" t="s">
        <v>113</v>
      </c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</row>
    <row r="2" spans="1:33">
      <c r="A2" s="19">
        <v>45103</v>
      </c>
      <c r="B2" s="12" t="s">
        <v>102</v>
      </c>
      <c r="C2" s="51">
        <v>15990</v>
      </c>
      <c r="D2" s="52">
        <f>F2+(C2-F2)*2/3</f>
        <v>14760</v>
      </c>
      <c r="E2" s="53">
        <f>F2+(C2-F2)*1/3</f>
        <v>13530</v>
      </c>
      <c r="F2" s="51">
        <v>12300</v>
      </c>
      <c r="G2" s="21" t="s">
        <v>114</v>
      </c>
      <c r="M2" s="20" t="str">
        <f>IFERROR(IF(G2="R1성공", L2/D2, IF(G2="R1탈출", L2/D2, IF(G2="R12탈출", L2/AVERAGE(D2:E2), IF(G2="R123손절", L2/(D2+E2)/2, ""))))-1,"")</f>
        <v/>
      </c>
    </row>
    <row r="3" spans="1:33">
      <c r="A3" s="19">
        <v>45104</v>
      </c>
      <c r="B3" s="12" t="s">
        <v>115</v>
      </c>
      <c r="C3" s="51">
        <v>15390</v>
      </c>
      <c r="D3" s="59">
        <f t="shared" ref="D3:D36" si="0">F3+(C3-F3)*2/3</f>
        <v>14206.666666666666</v>
      </c>
      <c r="E3" s="53">
        <f t="shared" ref="E3:E36" si="1">F3+(C3-F3)*1/3</f>
        <v>13023.333333333334</v>
      </c>
      <c r="F3" s="51">
        <v>11840</v>
      </c>
      <c r="G3" s="21" t="s">
        <v>116</v>
      </c>
      <c r="H3" s="28" t="s">
        <v>26</v>
      </c>
      <c r="J3" s="28" t="s">
        <v>27</v>
      </c>
      <c r="K3" s="1">
        <v>45111</v>
      </c>
      <c r="L3" s="51">
        <v>15800</v>
      </c>
      <c r="M3" s="20">
        <f>IFERROR(IF(G3="R1성공", L3/D3, IF(G3="R1탈출", L3/D3, IF(G3="R12탈출", L3/AVERAGE(D3:E3), IF(G3="R123손절", L3/(D3+E3)/2, ""))))-1,"")</f>
        <v>0.11215391834819344</v>
      </c>
    </row>
    <row r="4" spans="1:33">
      <c r="A4" s="19">
        <v>45104</v>
      </c>
      <c r="B4" s="12" t="s">
        <v>117</v>
      </c>
      <c r="C4" s="51">
        <v>3015</v>
      </c>
      <c r="D4" s="52">
        <f t="shared" si="0"/>
        <v>2783.3333333333335</v>
      </c>
      <c r="E4" s="53">
        <f t="shared" si="1"/>
        <v>2551.6666666666665</v>
      </c>
      <c r="F4" s="51">
        <v>2320</v>
      </c>
      <c r="G4" s="21"/>
      <c r="M4" s="20" t="str">
        <f>IFERROR(IF(G4="R1성공", L4/D4, IF(G4="R1탈출", L4/D4, IF(G4="R12탈출", L4/AVERAGE(D4:E4), IF(G4="R123손절", L4/(D4+E4)/2, ""))))-1,"")</f>
        <v/>
      </c>
    </row>
    <row r="5" spans="1:33">
      <c r="A5" s="19">
        <v>45106</v>
      </c>
      <c r="B5" s="12" t="s">
        <v>76</v>
      </c>
      <c r="C5" s="51">
        <v>5100</v>
      </c>
      <c r="D5" s="52">
        <f t="shared" si="0"/>
        <v>4708.333333333333</v>
      </c>
      <c r="E5" s="53">
        <f t="shared" si="1"/>
        <v>4316.666666666667</v>
      </c>
      <c r="F5" s="51">
        <v>3925</v>
      </c>
      <c r="G5" s="21"/>
      <c r="H5" s="28" t="s">
        <v>45</v>
      </c>
      <c r="M5" s="20" t="str">
        <f>IFERROR(IF(G5="R1성공", L5/D5, IF(G5="R1탈출", L5/D5, IF(G5="R12탈출", L5/AVERAGE(D5:E5), IF(G5="R123손절", L5/(D5+E5)/2, ""))))-1,"")</f>
        <v/>
      </c>
    </row>
    <row r="6" spans="1:33">
      <c r="A6" s="19">
        <v>45100</v>
      </c>
      <c r="B6" s="12" t="s">
        <v>118</v>
      </c>
      <c r="C6" s="51">
        <v>1512</v>
      </c>
      <c r="D6" s="60">
        <f t="shared" si="0"/>
        <v>1663</v>
      </c>
      <c r="E6" s="61">
        <f t="shared" si="1"/>
        <v>1814</v>
      </c>
      <c r="F6" s="51">
        <v>1965</v>
      </c>
      <c r="G6" s="21" t="s">
        <v>119</v>
      </c>
      <c r="H6" s="28" t="s">
        <v>45</v>
      </c>
      <c r="J6" s="28" t="s">
        <v>27</v>
      </c>
      <c r="K6" s="1">
        <v>45110</v>
      </c>
      <c r="L6" s="51">
        <v>1777</v>
      </c>
      <c r="M6" s="20">
        <f>IFERROR(IF(G6="R1성공", L6/D6, IF(G6="R1탈출", L6/D6, IF(G6="R12탈출", L6/AVERAGE(D6:E6), IF(G6="R123손절", L6/(D6+E6)/2, ""))))-1,"")</f>
        <v>6.8550811785929033E-2</v>
      </c>
    </row>
    <row r="7" spans="1:33">
      <c r="A7" s="19">
        <v>45111</v>
      </c>
      <c r="B7" s="12" t="s">
        <v>120</v>
      </c>
      <c r="C7" s="51">
        <v>137200</v>
      </c>
      <c r="D7" s="52">
        <f t="shared" si="0"/>
        <v>91466.666666666672</v>
      </c>
      <c r="E7" s="53">
        <f t="shared" si="1"/>
        <v>45733.333333333336</v>
      </c>
      <c r="G7" s="21"/>
      <c r="M7" s="20" t="str">
        <f>IFERROR(IF(G7="R1성공", L7/D7, IF(G7="R1탈출", L7/D7, IF(G7="R12탈출", L7/AVERAGE(D7:E7), IF(G7="R123손절", L7/(D7+E7)/2, ""))))-1,"")</f>
        <v/>
      </c>
    </row>
    <row r="8" spans="1:33">
      <c r="A8" s="19">
        <v>45111</v>
      </c>
      <c r="B8" s="12" t="s">
        <v>61</v>
      </c>
      <c r="C8" s="51">
        <v>5850</v>
      </c>
      <c r="D8" s="52">
        <f t="shared" si="0"/>
        <v>5400</v>
      </c>
      <c r="E8" s="53">
        <f t="shared" si="1"/>
        <v>4950</v>
      </c>
      <c r="F8" s="51">
        <v>4500</v>
      </c>
      <c r="G8" s="21"/>
      <c r="M8" s="20" t="str">
        <f>IFERROR(IF(G8="R1성공", L8/D8, IF(G8="R1탈출", L8/D8, IF(G8="R12탈출", L8/AVERAGE(D8:E8), IF(G8="R123손절", L8/(D8+E8)/2, ""))))-1,"")</f>
        <v/>
      </c>
    </row>
    <row r="9" spans="1:33">
      <c r="A9" s="19">
        <v>45112</v>
      </c>
      <c r="B9" s="12" t="s">
        <v>121</v>
      </c>
      <c r="D9" s="52">
        <f t="shared" si="0"/>
        <v>0</v>
      </c>
      <c r="E9" s="53">
        <f t="shared" si="1"/>
        <v>0</v>
      </c>
      <c r="G9" s="21" t="s">
        <v>122</v>
      </c>
      <c r="M9" s="20" t="str">
        <f>IFERROR(IF(G9="R1성공", L9/D9, IF(G9="R1탈출", L9/D9, IF(G9="R12탈출", L9/AVERAGE(D9:E9), IF(G9="R123손절", L9/(D9+E9)/2, ""))))-1,"")</f>
        <v/>
      </c>
    </row>
    <row r="10" spans="1:33">
      <c r="A10" s="19">
        <v>45112</v>
      </c>
      <c r="B10" s="12" t="s">
        <v>48</v>
      </c>
      <c r="C10" s="51">
        <v>26700</v>
      </c>
      <c r="D10" s="59">
        <f t="shared" si="0"/>
        <v>24650</v>
      </c>
      <c r="E10" s="53">
        <f t="shared" si="1"/>
        <v>22600</v>
      </c>
      <c r="F10" s="51">
        <v>20550</v>
      </c>
      <c r="G10" s="21" t="s">
        <v>116</v>
      </c>
      <c r="H10" s="28" t="s">
        <v>27</v>
      </c>
      <c r="J10" s="28" t="s">
        <v>49</v>
      </c>
      <c r="K10" s="1">
        <v>45114</v>
      </c>
      <c r="L10" s="51">
        <v>30500</v>
      </c>
      <c r="M10" s="20">
        <f>IFERROR(IF(G10="R1성공", L10/D10, IF(G10="R1탈출", L10/D10, IF(G10="R12탈출", L10/AVERAGE(D10:E10), IF(G10="R123손절", L10/(D10+E10)/2, ""))))-1,"")</f>
        <v>0.23732251521298164</v>
      </c>
    </row>
    <row r="11" spans="1:33">
      <c r="A11" s="19">
        <v>45114</v>
      </c>
      <c r="B11" s="12" t="s">
        <v>79</v>
      </c>
      <c r="C11" s="51">
        <v>6890</v>
      </c>
      <c r="D11" s="52">
        <f t="shared" si="0"/>
        <v>6360</v>
      </c>
      <c r="E11" s="53">
        <f t="shared" si="1"/>
        <v>5830</v>
      </c>
      <c r="F11" s="51">
        <v>5300</v>
      </c>
      <c r="G11" s="21"/>
      <c r="M11" s="20" t="str">
        <f>IFERROR(IF(G11="R1성공", L11/D11, IF(G11="R1탈출", L11/D11, IF(G11="R12탈출", L11/AVERAGE(D11:E11), IF(G11="R123손절", L11/(D11+E11)/2, ""))))-1,"")</f>
        <v/>
      </c>
    </row>
    <row r="12" spans="1:33">
      <c r="A12" s="13"/>
      <c r="B12" s="12"/>
      <c r="D12" s="52">
        <f t="shared" si="0"/>
        <v>0</v>
      </c>
      <c r="E12" s="53">
        <f t="shared" si="1"/>
        <v>0</v>
      </c>
      <c r="G12" s="21"/>
      <c r="M12" s="20" t="str">
        <f>IFERROR(IF(G12="R1성공", L12/D12, IF(G12="R1탈출", L12/D12, IF(G12="R12탈출", L12/AVERAGE(D12:E12), IF(G12="R123손절", L12/(D12+E12)/2, ""))))-1,"")</f>
        <v/>
      </c>
    </row>
    <row r="13" spans="1:33">
      <c r="A13" s="13"/>
      <c r="B13" s="12"/>
      <c r="D13" s="52">
        <f t="shared" si="0"/>
        <v>0</v>
      </c>
      <c r="E13" s="53">
        <f t="shared" si="1"/>
        <v>0</v>
      </c>
      <c r="G13" s="21"/>
      <c r="M13" s="20" t="str">
        <f>IFERROR(IF(G13="R1성공", L13/D13, IF(G13="R1탈출", L13/D13, IF(G13="R12탈출", L13/AVERAGE(D13:E13), IF(G13="R123손절", L13/(D13+E13)/2, ""))))-1,"")</f>
        <v/>
      </c>
    </row>
    <row r="14" spans="1:33">
      <c r="A14" s="13"/>
      <c r="B14" s="12"/>
      <c r="D14" s="52">
        <f t="shared" si="0"/>
        <v>0</v>
      </c>
      <c r="E14" s="53">
        <f t="shared" si="1"/>
        <v>0</v>
      </c>
      <c r="G14" s="21"/>
      <c r="M14" s="20" t="str">
        <f>IFERROR(IF(G14="R1성공", L14/D14, IF(G14="R1탈출", L14/D14, IF(G14="R12탈출", L14/AVERAGE(D14:E14), IF(G14="R123손절", L14/(D14+E14)/2, ""))))-1,"")</f>
        <v/>
      </c>
    </row>
    <row r="15" spans="1:33">
      <c r="A15" s="13"/>
      <c r="B15" s="12"/>
      <c r="D15" s="52">
        <f t="shared" si="0"/>
        <v>0</v>
      </c>
      <c r="E15" s="53">
        <f t="shared" si="1"/>
        <v>0</v>
      </c>
      <c r="G15" s="21"/>
      <c r="M15" s="20" t="str">
        <f>IFERROR(IF(G15="R1성공", L15/D15, IF(G15="R1탈출", L15/D15, IF(G15="R12탈출", L15/AVERAGE(D15:E15), IF(G15="R123손절", L15/(D15+E15)/2, ""))))-1,"")</f>
        <v/>
      </c>
    </row>
    <row r="16" spans="1:33">
      <c r="A16" s="13"/>
      <c r="B16" s="12"/>
      <c r="D16" s="52">
        <f t="shared" si="0"/>
        <v>0</v>
      </c>
      <c r="E16" s="53">
        <f t="shared" si="1"/>
        <v>0</v>
      </c>
      <c r="G16" s="21"/>
      <c r="M16" s="20" t="str">
        <f>IFERROR(IF(G16="R1성공", L16/D16, IF(G16="R1탈출", L16/D16, IF(G16="R12탈출", L16/AVERAGE(D16:E16), IF(G16="R123손절", L16/(D16+E16)/2, ""))))-1,"")</f>
        <v/>
      </c>
    </row>
    <row r="17" spans="1:13">
      <c r="A17" s="13"/>
      <c r="B17" s="12"/>
      <c r="D17" s="52">
        <f t="shared" si="0"/>
        <v>0</v>
      </c>
      <c r="E17" s="53">
        <f t="shared" si="1"/>
        <v>0</v>
      </c>
      <c r="G17" s="21"/>
      <c r="M17" s="20" t="str">
        <f>IFERROR(IF(G17="R1성공", L17/D17, IF(G17="R1탈출", L17/D17, IF(G17="R12탈출", L17/AVERAGE(D17:E17), IF(G17="R123손절", L17/(D17+E17)/2, ""))))-1,"")</f>
        <v/>
      </c>
    </row>
    <row r="18" spans="1:13">
      <c r="A18" s="13"/>
      <c r="B18" s="12"/>
      <c r="D18" s="52">
        <f t="shared" si="0"/>
        <v>0</v>
      </c>
      <c r="E18" s="53">
        <f t="shared" si="1"/>
        <v>0</v>
      </c>
      <c r="G18" s="21"/>
      <c r="M18" s="20" t="str">
        <f>IFERROR(IF(G18="R1성공", L18/D18, IF(G18="R1탈출", L18/D18, IF(G18="R12탈출", L18/AVERAGE(D18:E18), IF(G18="R123손절", L18/(D18+E18)/2, ""))))-1,"")</f>
        <v/>
      </c>
    </row>
    <row r="19" spans="1:13">
      <c r="A19" s="13"/>
      <c r="B19" s="12"/>
      <c r="D19" s="52">
        <f t="shared" si="0"/>
        <v>0</v>
      </c>
      <c r="E19" s="53">
        <f t="shared" si="1"/>
        <v>0</v>
      </c>
      <c r="G19" s="21"/>
      <c r="M19" s="20" t="str">
        <f>IFERROR(IF(G19="R1성공", L19/D19, IF(G19="R1탈출", L19/D19, IF(G19="R12탈출", L19/AVERAGE(D19:E19), IF(G19="R123손절", L19/(D19+E19)/2, ""))))-1,"")</f>
        <v/>
      </c>
    </row>
    <row r="20" spans="1:13">
      <c r="A20" s="13"/>
      <c r="B20" s="12"/>
      <c r="D20" s="52">
        <f t="shared" si="0"/>
        <v>0</v>
      </c>
      <c r="E20" s="53">
        <f t="shared" si="1"/>
        <v>0</v>
      </c>
      <c r="G20" s="21"/>
      <c r="M20" s="20" t="str">
        <f>IFERROR(IF(G20="R1성공", L20/D20, IF(G20="R1탈출", L20/D20, IF(G20="R12탈출", L20/AVERAGE(D20:E20), IF(G20="R123손절", L20/(D20+E20)/2, ""))))-1,"")</f>
        <v/>
      </c>
    </row>
    <row r="21" spans="1:13">
      <c r="A21" s="13"/>
      <c r="B21" s="12"/>
      <c r="D21" s="52">
        <f t="shared" si="0"/>
        <v>0</v>
      </c>
      <c r="E21" s="53">
        <f t="shared" si="1"/>
        <v>0</v>
      </c>
      <c r="G21" s="21"/>
      <c r="M21" s="20" t="str">
        <f>IFERROR(IF(G21="R1성공", L21/D21, IF(G21="R1탈출", L21/D21, IF(G21="R12탈출", L21/AVERAGE(D21:E21), IF(G21="R123손절", L21/(D21+E21)/2, ""))))-1,"")</f>
        <v/>
      </c>
    </row>
    <row r="22" spans="1:13">
      <c r="A22" s="13"/>
      <c r="B22" s="12"/>
      <c r="D22" s="52">
        <f t="shared" si="0"/>
        <v>0</v>
      </c>
      <c r="E22" s="53">
        <f t="shared" si="1"/>
        <v>0</v>
      </c>
      <c r="G22" s="21"/>
      <c r="M22" s="20" t="str">
        <f>IFERROR(IF(G22="R1성공", L22/D22, IF(G22="R1탈출", L22/D22, IF(G22="R12탈출", L22/AVERAGE(D22:E22), IF(G22="R123손절", L22/(D22+E22)/2, ""))))-1,"")</f>
        <v/>
      </c>
    </row>
    <row r="23" spans="1:13">
      <c r="A23" s="13"/>
      <c r="B23" s="12"/>
      <c r="D23" s="52">
        <f t="shared" si="0"/>
        <v>0</v>
      </c>
      <c r="E23" s="53">
        <f t="shared" si="1"/>
        <v>0</v>
      </c>
      <c r="G23" s="21"/>
      <c r="M23" s="20" t="str">
        <f>IFERROR(IF(G23="R1성공", L23/D23, IF(G23="R1탈출", L23/D23, IF(G23="R12탈출", L23/AVERAGE(D23:E23), IF(G23="R123손절", L23/(D23+E23)/2, ""))))-1,"")</f>
        <v/>
      </c>
    </row>
    <row r="24" spans="1:13">
      <c r="A24" s="13"/>
      <c r="B24" s="12"/>
      <c r="D24" s="52">
        <f t="shared" si="0"/>
        <v>0</v>
      </c>
      <c r="E24" s="53">
        <f t="shared" si="1"/>
        <v>0</v>
      </c>
      <c r="G24" s="21"/>
      <c r="M24" s="20" t="str">
        <f>IFERROR(IF(G24="R1성공", L24/D24, IF(G24="R1탈출", L24/D24, IF(G24="R12탈출", L24/AVERAGE(D24:E24), IF(G24="R123손절", L24/(D24+E24)/2, ""))))-1,"")</f>
        <v/>
      </c>
    </row>
    <row r="25" spans="1:13">
      <c r="A25" s="13"/>
      <c r="B25" s="12"/>
      <c r="D25" s="52">
        <f t="shared" si="0"/>
        <v>0</v>
      </c>
      <c r="E25" s="53">
        <f t="shared" si="1"/>
        <v>0</v>
      </c>
      <c r="G25" s="21"/>
      <c r="M25" s="20" t="str">
        <f>IFERROR(IF(G25="R1성공", L25/D25, IF(G25="R1탈출", L25/D25, IF(G25="R12탈출", L25/AVERAGE(D25:E25), IF(G25="R123손절", L25/(D25+E25)/2, ""))))-1,"")</f>
        <v/>
      </c>
    </row>
    <row r="26" spans="1:13">
      <c r="A26" s="13"/>
      <c r="B26" s="12"/>
      <c r="D26" s="52">
        <f t="shared" si="0"/>
        <v>0</v>
      </c>
      <c r="E26" s="53">
        <f t="shared" si="1"/>
        <v>0</v>
      </c>
      <c r="G26" s="21"/>
      <c r="M26" s="20" t="str">
        <f>IFERROR(IF(G26="R1성공", L26/D26, IF(G26="R1탈출", L26/D26, IF(G26="R12탈출", L26/AVERAGE(D26:E26), IF(G26="R123손절", L26/(D26+E26)/2, ""))))-1,"")</f>
        <v/>
      </c>
    </row>
    <row r="27" spans="1:13">
      <c r="A27" s="13"/>
      <c r="B27" s="12"/>
      <c r="D27" s="52">
        <f t="shared" si="0"/>
        <v>0</v>
      </c>
      <c r="E27" s="53">
        <f t="shared" si="1"/>
        <v>0</v>
      </c>
      <c r="G27" s="21"/>
      <c r="M27" s="20" t="str">
        <f>IFERROR(IF(G27="R1성공", L27/D27, IF(G27="R1탈출", L27/D27, IF(G27="R12탈출", L27/AVERAGE(D27:E27), IF(G27="R123손절", L27/(D27+E27)/2, ""))))-1,"")</f>
        <v/>
      </c>
    </row>
    <row r="28" spans="1:13">
      <c r="A28" s="13"/>
      <c r="B28" s="12"/>
      <c r="D28" s="52">
        <f t="shared" si="0"/>
        <v>0</v>
      </c>
      <c r="E28" s="53">
        <f t="shared" si="1"/>
        <v>0</v>
      </c>
      <c r="G28" s="21"/>
      <c r="M28" s="20" t="str">
        <f>IFERROR(IF(G28="R1성공", L28/D28, IF(G28="R1탈출", L28/D28, IF(G28="R12탈출", L28/AVERAGE(D28:E28), IF(G28="R123손절", L28/(D28+E28)/2, ""))))-1,"")</f>
        <v/>
      </c>
    </row>
    <row r="29" spans="1:13">
      <c r="A29" s="13"/>
      <c r="B29" s="12"/>
      <c r="D29" s="52">
        <f t="shared" si="0"/>
        <v>0</v>
      </c>
      <c r="E29" s="53">
        <f t="shared" si="1"/>
        <v>0</v>
      </c>
      <c r="G29" s="21"/>
      <c r="M29" s="20" t="str">
        <f>IFERROR(IF(G29="R1성공", L29/D29, IF(G29="R1탈출", L29/D29, IF(G29="R12탈출", L29/AVERAGE(D29:E29), IF(G29="R123손절", L29/(D29+E29)/2, ""))))-1,"")</f>
        <v/>
      </c>
    </row>
    <row r="30" spans="1:13">
      <c r="A30" s="13"/>
      <c r="B30" s="12"/>
      <c r="D30" s="52">
        <f t="shared" si="0"/>
        <v>0</v>
      </c>
      <c r="E30" s="53">
        <f t="shared" si="1"/>
        <v>0</v>
      </c>
      <c r="G30" s="21"/>
      <c r="M30" s="20" t="str">
        <f>IFERROR(IF(G30="R1성공", L30/D30, IF(G30="R1탈출", L30/D30, IF(G30="R12탈출", L30/AVERAGE(D30:E30), IF(G30="R123손절", L30/(D30+E30)/2, ""))))-1,"")</f>
        <v/>
      </c>
    </row>
    <row r="31" spans="1:13">
      <c r="A31" s="13"/>
      <c r="B31" s="12"/>
      <c r="D31" s="52">
        <f t="shared" si="0"/>
        <v>0</v>
      </c>
      <c r="E31" s="53">
        <f t="shared" si="1"/>
        <v>0</v>
      </c>
      <c r="G31" s="21"/>
      <c r="M31" s="20" t="str">
        <f>IFERROR(IF(G31="R1성공", L31/D31, IF(G31="R1탈출", L31/D31, IF(G31="R12탈출", L31/AVERAGE(D31:E31), IF(G31="R123손절", L31/(D31+E31)/2, ""))))-1,"")</f>
        <v/>
      </c>
    </row>
    <row r="32" spans="1:13">
      <c r="A32" s="13"/>
      <c r="B32" s="12"/>
      <c r="D32" s="52">
        <f t="shared" si="0"/>
        <v>0</v>
      </c>
      <c r="E32" s="53">
        <f t="shared" si="1"/>
        <v>0</v>
      </c>
      <c r="G32" s="21"/>
      <c r="M32" s="20" t="str">
        <f>IFERROR(IF(G32="R1성공", L32/D32, IF(G32="R1탈출", L32/D32, IF(G32="R12탈출", L32/AVERAGE(D32:E32), IF(G32="R123손절", L32/(D32+E32)/2, ""))))-1,"")</f>
        <v/>
      </c>
    </row>
    <row r="33" spans="1:13">
      <c r="A33" s="13"/>
      <c r="B33" s="12"/>
      <c r="D33" s="52">
        <f t="shared" si="0"/>
        <v>0</v>
      </c>
      <c r="E33" s="53">
        <f t="shared" si="1"/>
        <v>0</v>
      </c>
      <c r="G33" s="21"/>
      <c r="M33" s="20" t="str">
        <f>IFERROR(IF(G33="R1성공", L33/D33, IF(G33="R1탈출", L33/D33, IF(G33="R12탈출", L33/AVERAGE(D33:E33), IF(G33="R123손절", L33/(D33+E33)/2, ""))))-1,"")</f>
        <v/>
      </c>
    </row>
    <row r="34" spans="1:13">
      <c r="A34" s="13"/>
      <c r="B34" s="12"/>
      <c r="D34" s="52">
        <f t="shared" si="0"/>
        <v>0</v>
      </c>
      <c r="E34" s="53">
        <f t="shared" si="1"/>
        <v>0</v>
      </c>
      <c r="G34" s="21"/>
      <c r="M34" s="20" t="str">
        <f>IFERROR(IF(G34="R1성공", L34/D34, IF(G34="R1탈출", L34/D34, IF(G34="R12탈출", L34/AVERAGE(D34:E34), IF(G34="R123손절", L34/(D34+E34)/2, ""))))-1,"")</f>
        <v/>
      </c>
    </row>
    <row r="35" spans="1:13">
      <c r="A35" s="13"/>
      <c r="B35" s="12"/>
      <c r="D35" s="52">
        <f t="shared" si="0"/>
        <v>0</v>
      </c>
      <c r="E35" s="53">
        <f t="shared" si="1"/>
        <v>0</v>
      </c>
      <c r="G35" s="21"/>
      <c r="M35" s="20" t="str">
        <f>IFERROR(IF(G35="R1성공", L35/D35, IF(G35="R1탈출", L35/D35, IF(G35="R12탈출", L35/AVERAGE(D35:E35), IF(G35="R123손절", L35/(D35+E35)/2, ""))))-1,"")</f>
        <v/>
      </c>
    </row>
    <row r="36" spans="1:13">
      <c r="A36" s="15"/>
      <c r="B36" s="14"/>
      <c r="C36" s="56"/>
      <c r="D36" s="57">
        <f t="shared" si="0"/>
        <v>0</v>
      </c>
      <c r="E36" s="58">
        <f t="shared" si="1"/>
        <v>0</v>
      </c>
      <c r="F36" s="56"/>
      <c r="G36" s="22"/>
      <c r="H36" s="10"/>
      <c r="I36" s="29"/>
      <c r="J36" s="10"/>
      <c r="K36" s="10"/>
      <c r="L36" s="56"/>
      <c r="M36" s="30" t="str">
        <f>IFERROR(IF(G36="R1성공", L36/D36, IF(G36="R1탈출", L36/D36, IF(G36="R12탈출", L36/AVERAGE(D36:E36), IF(G36="R123손절", L36/(D36+E36)/2, ""))))-1,"")</f>
        <v/>
      </c>
    </row>
  </sheetData>
  <conditionalFormatting sqref="B1">
    <cfRule type="duplicateValues" dxfId="6" priority="8"/>
  </conditionalFormatting>
  <conditionalFormatting sqref="D1">
    <cfRule type="containsText" dxfId="5" priority="5" operator="containsText" text="갱신">
      <formula>NOT(ISERROR(SEARCH("갱신",D1)))</formula>
    </cfRule>
  </conditionalFormatting>
  <conditionalFormatting sqref="M1">
    <cfRule type="cellIs" dxfId="4" priority="7" operator="between">
      <formula>0.045</formula>
      <formula>-0.1</formula>
    </cfRule>
  </conditionalFormatting>
  <conditionalFormatting sqref="M1">
    <cfRule type="cellIs" dxfId="3" priority="6" operator="between">
      <formula>0.045</formula>
      <formula>0.05</formula>
    </cfRule>
  </conditionalFormatting>
  <conditionalFormatting sqref="G2:G36">
    <cfRule type="containsText" dxfId="2" priority="3" operator="containsText" text="손절">
      <formula>NOT(ISERROR(SEARCH("손절",G2)))</formula>
    </cfRule>
  </conditionalFormatting>
  <conditionalFormatting sqref="G2:G36">
    <cfRule type="containsText" dxfId="1" priority="2" operator="containsText" text="성공">
      <formula>NOT(ISERROR(SEARCH("성공",G2)))</formula>
    </cfRule>
  </conditionalFormatting>
  <conditionalFormatting sqref="G2:G36">
    <cfRule type="containsText" dxfId="0" priority="1" operator="containsText" text="탈출">
      <formula>NOT(ISERROR(SEARCH("탈출",G2)))</formula>
    </cfRule>
  </conditionalFormatting>
  <dataValidations count="1">
    <dataValidation type="list" allowBlank="1" showInputMessage="1" showErrorMessage="1" sqref="G2:G36" xr:uid="{A0024B08-0178-437E-B872-0BFC9502DABE}">
      <formula1>"R1성공,R1탈출,R12탈출,R123손절,역배열,약한상,time over"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최석훈</dc:creator>
  <cp:keywords/>
  <dc:description/>
  <cp:lastModifiedBy/>
  <cp:revision/>
  <dcterms:created xsi:type="dcterms:W3CDTF">2022-06-14T23:23:28Z</dcterms:created>
  <dcterms:modified xsi:type="dcterms:W3CDTF">2023-07-09T07:29:21Z</dcterms:modified>
  <cp:category/>
  <cp:contentStatus/>
</cp:coreProperties>
</file>